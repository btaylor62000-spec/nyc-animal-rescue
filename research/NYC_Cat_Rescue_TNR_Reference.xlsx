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YC Cat Rescues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Progress log" sheetId="3" state="visible" r:id="rId3"/>
    <sheet xmlns:r="http://schemas.openxmlformats.org/officeDocument/2006/relationships" name="Specialty view" sheetId="4" state="visible" r:id="rId4"/>
    <sheet xmlns:r="http://schemas.openxmlformats.org/officeDocument/2006/relationships" name="Emergency &amp; poison control" sheetId="5" state="visible" r:id="rId5"/>
    <sheet xmlns:r="http://schemas.openxmlformats.org/officeDocument/2006/relationships" name="Clinics, traps &amp; support" sheetId="6" state="visible" r:id="rId6"/>
    <sheet xmlns:r="http://schemas.openxmlformats.org/officeDocument/2006/relationships" name="Owner support &amp; surrender prev." sheetId="7" state="visible" r:id="rId7"/>
    <sheet xmlns:r="http://schemas.openxmlformats.org/officeDocument/2006/relationships" name="Lost-found &amp; behavior" sheetId="8" state="visible" r:id="rId8"/>
    <sheet xmlns:r="http://schemas.openxmlformats.org/officeDocument/2006/relationships" name="Colony &amp; feral ca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i val="1"/>
      <color rgb="007F3F00"/>
      <sz val="9"/>
    </font>
    <font>
      <name val="Arial"/>
      <b val="1"/>
      <color rgb="00FFFFFF"/>
      <sz val="10"/>
    </font>
    <font>
      <name val="Arial"/>
      <b val="1"/>
      <color rgb="001F4E5F"/>
      <sz val="10"/>
    </font>
    <font>
      <name val="Arial"/>
      <sz val="10"/>
    </font>
    <font>
      <name val="Arial"/>
      <b val="1"/>
      <color rgb="001F4E5F"/>
      <sz val="13"/>
    </font>
    <font>
      <name val="Arial"/>
      <color rgb="00000000"/>
      <sz val="10"/>
    </font>
    <font>
      <name val="Arial"/>
      <b val="1"/>
      <color rgb="001F4E5F"/>
      <sz val="11"/>
    </font>
    <font>
      <name val="Arial"/>
      <b val="1"/>
      <color rgb="00C0392B"/>
      <sz val="13"/>
    </font>
    <font>
      <name val="Arial"/>
      <b val="1"/>
      <color rgb="001F4E5F"/>
      <sz val="12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9E8EF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0" customWidth="1" min="3" max="3"/>
    <col width="20" customWidth="1" min="4" max="4"/>
    <col width="22" customWidth="1" min="5" max="5"/>
    <col width="30" customWidth="1" min="6" max="6"/>
    <col width="30" customWidth="1" min="7" max="7"/>
    <col width="34" customWidth="1" min="8" max="8"/>
    <col width="36" customWidth="1" min="9" max="9"/>
    <col width="54" customWidth="1" min="10" max="10"/>
    <col width="11" customWidth="1" min="11" max="11"/>
    <col width="46" customWidth="1" min="12" max="12"/>
    <col width="13" customWidth="1" min="13" max="13"/>
  </cols>
  <sheetData>
    <row r="1">
      <c r="A1" s="1" t="inlineStr">
        <is>
          <t>NYC Cat Rescue &amp; TNR Reference (Brooklyn-first, expanding to all boroughs)</t>
        </is>
      </c>
    </row>
    <row r="2" ht="267" customHeight="1">
      <c r="A2" s="2" t="inlineStr">
        <is>
          <t>CAVEAT (stated once): Even verified rescue contact info goes stale fast. Before any emergency handoff, confirm the specific number/email is still live. The 'Last verified' column tracks staleness; 'Confidence' flags how firmly the entry is verified (High = confirmed on the org's own site; Medium = confirmed via authoritative listing / minor caveat; Low = a real group with only an Instagram/social channel found - verify directly via that channel before relying).</t>
        </is>
      </c>
    </row>
    <row r="3"/>
    <row r="4">
      <c r="A4" s="3" t="inlineStr">
        <is>
          <t>Name</t>
        </is>
      </c>
      <c r="B4" s="3" t="inlineStr">
        <is>
          <t>Type</t>
        </is>
      </c>
      <c r="C4" s="3" t="inlineStr">
        <is>
          <t>Neighborhoods served</t>
        </is>
      </c>
      <c r="D4" s="3" t="inlineStr">
        <is>
          <t>Zip codes</t>
        </is>
      </c>
      <c r="E4" s="3" t="inlineStr">
        <is>
          <t>Phone</t>
        </is>
      </c>
      <c r="F4" s="3" t="inlineStr">
        <is>
          <t>Email</t>
        </is>
      </c>
      <c r="G4" s="3" t="inlineStr">
        <is>
          <t>Website</t>
        </is>
      </c>
      <c r="H4" s="3" t="inlineStr">
        <is>
          <t>Intake/help form link</t>
        </is>
      </c>
      <c r="I4" s="3" t="inlineStr">
        <is>
          <t>Instagram or other channel</t>
        </is>
      </c>
      <c r="J4" s="3" t="inlineStr">
        <is>
          <t>Notes</t>
        </is>
      </c>
      <c r="K4" s="3" t="inlineStr">
        <is>
          <t>Confidence</t>
        </is>
      </c>
      <c r="L4" s="3" t="inlineStr">
        <is>
          <t>Source URL</t>
        </is>
      </c>
      <c r="M4" s="3" t="inlineStr">
        <is>
          <t>Last verified</t>
        </is>
      </c>
    </row>
    <row r="5">
      <c r="A5" s="4" t="inlineStr">
        <is>
          <t>NORTH BROOKLYN  (Greenpoint / Williamsburg / Bushwick)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6" t="n"/>
    </row>
    <row r="6" ht="48" customHeight="1">
      <c r="A6" s="7" t="inlineStr">
        <is>
          <t>Bushwick Street Cats</t>
        </is>
      </c>
      <c r="B6" s="7" t="inlineStr">
        <is>
          <t>TNR / rescue+adoption</t>
        </is>
      </c>
      <c r="C6" s="7" t="inlineStr">
        <is>
          <t>Bushwick and surrounding areas</t>
        </is>
      </c>
      <c r="D6" s="7" t="inlineStr">
        <is>
          <t>11206, 11207, 11221, 11237</t>
        </is>
      </c>
      <c r="E6" s="7" t="inlineStr"/>
      <c r="F6" s="7" t="inlineStr">
        <is>
          <t>bushwickstreetcats@gmail.com</t>
        </is>
      </c>
      <c r="G6" s="7" t="inlineStr">
        <is>
          <t>https://bushwickstreetcats.org</t>
        </is>
      </c>
      <c r="H6" s="7" t="inlineStr">
        <is>
          <t>https://bushwickstreetcats.org/contact/ (Help Request form)</t>
        </is>
      </c>
      <c r="I6" s="7" t="inlineStr">
        <is>
          <t>IG @bushwickcats; FB /bushwickstreetcats</t>
        </is>
      </c>
      <c r="J6" s="7" t="inlineStr">
        <is>
          <t>Small volunteer 501(c)(3), primarily TNR; fosters/adopts friendlies. Not a shelter; does not take cats from shelters or people. Best first step: TNR certification.</t>
        </is>
      </c>
      <c r="K6" s="8" t="inlineStr">
        <is>
          <t>High</t>
        </is>
      </c>
      <c r="L6" s="7" t="inlineStr">
        <is>
          <t>https://bushwickstreetcats.org/contact/</t>
        </is>
      </c>
      <c r="M6" s="7" t="inlineStr">
        <is>
          <t>2026-08-26</t>
        </is>
      </c>
    </row>
    <row r="7" ht="93" customHeight="1">
      <c r="A7" s="7" t="inlineStr">
        <is>
          <t>Empty Cages Collective (ECC)</t>
        </is>
      </c>
      <c r="B7" s="7" t="inlineStr">
        <is>
          <t>TNR / rescue+adoption (multi-species)</t>
        </is>
      </c>
      <c r="C7" s="7" t="inlineStr">
        <is>
          <t>Williamsburg-based (11211); serves NYC + Hudson Valley via fosters</t>
        </is>
      </c>
      <c r="D7" s="7" t="inlineStr">
        <is>
          <t>11211 + citywide foster</t>
        </is>
      </c>
      <c r="E7" s="7" t="inlineStr">
        <is>
          <t>1-800-880-2684</t>
        </is>
      </c>
      <c r="F7" s="7" t="inlineStr">
        <is>
          <t>adopt@emptycagescollective.org; info@emptycagescollective.org</t>
        </is>
      </c>
      <c r="G7" s="7" t="inlineStr">
        <is>
          <t>https://www.emptycagescollective.org</t>
        </is>
      </c>
      <c r="H7" s="7" t="inlineStr">
        <is>
          <t>Adoption application (PDF) via adopt@ email; FaceTime interview + home drop-off</t>
        </is>
      </c>
      <c r="I7" s="7" t="inlineStr">
        <is>
          <t>IG @emptycagescollective (serves NYC + Hudson Valley)</t>
        </is>
      </c>
      <c r="J7" s="7" t="inlineStr">
        <is>
          <t>All-volunteer 501(c)(3) animal + environmental advocacy rescue. Feral-cat TNR + rescue/adoption; pulls cats from NYCACC; FeLV+ and special-needs cat specialty; also dogs/rabbits/small animals/wildlife. Brooklyn (Williamsburg) base with citywide + Hudson Valley reach. Verified 2026-08-26.</t>
        </is>
      </c>
      <c r="K7" s="8" t="inlineStr">
        <is>
          <t>High</t>
        </is>
      </c>
      <c r="L7" s="7" t="inlineStr">
        <is>
          <t>https://www.emptycagescollective.org/ ; https://www.adoptapet.com/adoption_rescue/78830-empty-cages-collective-brooklyn-new-york</t>
        </is>
      </c>
      <c r="M7" s="7" t="inlineStr">
        <is>
          <t>2026-08-26</t>
        </is>
      </c>
    </row>
    <row r="8" ht="63" customHeight="1">
      <c r="A8" s="7" t="inlineStr">
        <is>
          <t>Greenpoint Cats</t>
        </is>
      </c>
      <c r="B8" s="7" t="inlineStr">
        <is>
          <t>TNR / rescue+adoption</t>
        </is>
      </c>
      <c r="C8" s="7" t="inlineStr">
        <is>
          <t>Greenpoint; North Brooklyn (prioritizes local Greenpoint)</t>
        </is>
      </c>
      <c r="D8" s="7" t="inlineStr">
        <is>
          <t>11222</t>
        </is>
      </c>
      <c r="E8" s="7" t="inlineStr"/>
      <c r="F8" s="7" t="inlineStr"/>
      <c r="G8" s="7" t="inlineStr">
        <is>
          <t>https://www.greenpointcats.org</t>
        </is>
      </c>
      <c r="H8" s="7" t="inlineStr">
        <is>
          <t>https://www.greenpointcats.org/tnr-requests</t>
        </is>
      </c>
      <c r="I8" s="7" t="inlineStr">
        <is>
          <t>IG @greenpoint_cats; FB /Greenpointcats; Venmo @greenpoint_cats</t>
        </is>
      </c>
      <c r="J8" s="7" t="inlineStr">
        <is>
          <t>501(c)(3) (EIN 84-2272610), volunteer-run, no shelter. No public phone/email; intake via rescue-request form. TNR then foster/adopt of friendlies. Re-verified 2026-08-26.</t>
        </is>
      </c>
      <c r="K8" s="8" t="inlineStr">
        <is>
          <t>High</t>
        </is>
      </c>
      <c r="L8" s="7" t="inlineStr">
        <is>
          <t>https://www.greenpointcats.org/tnr-requests</t>
        </is>
      </c>
      <c r="M8" s="7" t="inlineStr">
        <is>
          <t>2026-08-26</t>
        </is>
      </c>
    </row>
    <row r="9" ht="93" customHeight="1">
      <c r="A9" s="7" t="inlineStr">
        <is>
          <t>North Brooklyn Cats</t>
        </is>
      </c>
      <c r="B9" s="7" t="inlineStr">
        <is>
          <t>TNR / rescue+adoption</t>
        </is>
      </c>
      <c r="C9" s="7" t="inlineStr">
        <is>
          <t>Northern Brooklyn (Bushwick, Williamsburg, Greenpoint area)</t>
        </is>
      </c>
      <c r="D9" s="7" t="inlineStr">
        <is>
          <t>11206, 11211, 11221, 11222, 11237</t>
        </is>
      </c>
      <c r="E9" s="7" t="inlineStr"/>
      <c r="F9" s="7" t="inlineStr"/>
      <c r="G9" s="7" t="inlineStr">
        <is>
          <t>https://northbrooklyncats.org</t>
        </is>
      </c>
      <c r="H9" s="7" t="inlineStr">
        <is>
          <t>Contact form on homepage; adopt/foster: https://forms.monday.com/forms/e0162f83fa9c6ed04c2d1096f2dc7e98</t>
        </is>
      </c>
      <c r="I9" s="7" t="inlineStr">
        <is>
          <t>IG @northbrooklyncats; weekly event Sun 1-4pm, Bushwick Bark, 181 Irving Ave 11237</t>
        </is>
      </c>
      <c r="J9" s="7" t="inlineStr">
        <is>
          <t>All-volunteer 501(c)(3) (EIN 87-3147518), no shelter. Contact form ONLY. Help requests MUST include location + 1-2 photos and come directly from the person needing help (not a third party); don't call the store. Maintains an excellent Brooklyn rescue directory at /resources. Re-verified 2026-08-26.</t>
        </is>
      </c>
      <c r="K9" s="8" t="inlineStr">
        <is>
          <t>High</t>
        </is>
      </c>
      <c r="L9" s="7" t="inlineStr">
        <is>
          <t>https://northbrooklyncats.org/</t>
        </is>
      </c>
      <c r="M9" s="7" t="inlineStr">
        <is>
          <t>2026-08-26</t>
        </is>
      </c>
    </row>
    <row r="10" ht="93" customHeight="1">
      <c r="A10" s="7" t="inlineStr">
        <is>
          <t>Whiskers-A-GoGo (WaGG)</t>
        </is>
      </c>
      <c r="B10" s="7" t="inlineStr">
        <is>
          <t>TNR / rescue+adoption</t>
        </is>
      </c>
      <c r="C10" s="7" t="inlineStr">
        <is>
          <t>North Brooklyn and surrounding areas</t>
        </is>
      </c>
      <c r="D10" s="7" t="inlineStr">
        <is>
          <t>11211, 11222</t>
        </is>
      </c>
      <c r="E10" s="7" t="inlineStr"/>
      <c r="F10" s="7" t="inlineStr">
        <is>
          <t>whiskersagogo.nyc@gmail.com</t>
        </is>
      </c>
      <c r="G10" s="7" t="inlineStr">
        <is>
          <t>https://www.whiskers-agogo.org</t>
        </is>
      </c>
      <c r="H10" s="7" t="inlineStr">
        <is>
          <t>Adoption/foster application via site &amp; Petfinder</t>
        </is>
      </c>
      <c r="I10" s="7" t="inlineStr">
        <is>
          <t>IG @whiskers_agogo (NOTE: 'No DMs'); events at Bushwick Bark, 181 Irving Ave</t>
        </is>
      </c>
      <c r="J10" s="7" t="inlineStr">
        <is>
          <t>Founded 2012, all-volunteer 501(c)(3) (EIN 81-2882799), foster-based, visits by appointment only. TNR in North Brooklyn; pulls at-risk cats from NYC shelters. Re-verified 2026-08-26: their own Contact page + FB list ONLY the gmail - no public phone (the (718) number previously floated was unconfirmable and has been removed).</t>
        </is>
      </c>
      <c r="K10" s="8" t="inlineStr">
        <is>
          <t>High</t>
        </is>
      </c>
      <c r="L10" s="7" t="inlineStr">
        <is>
          <t>https://www.whiskers-agogo.org/contact</t>
        </is>
      </c>
      <c r="M10" s="7" t="inlineStr">
        <is>
          <t>2026-08-26</t>
        </is>
      </c>
    </row>
    <row r="11" ht="78" customHeight="1">
      <c r="A11" s="7" t="inlineStr">
        <is>
          <t>A Tail of Two Kitties</t>
        </is>
      </c>
      <c r="B11" s="7" t="inlineStr">
        <is>
          <t>TNR / rescue+adoption</t>
        </is>
      </c>
      <c r="C11" s="7" t="inlineStr">
        <is>
          <t>Ridgewood/Bushwick border area</t>
        </is>
      </c>
      <c r="D11" s="7" t="inlineStr">
        <is>
          <t>11385, 11237</t>
        </is>
      </c>
      <c r="E11" s="7" t="inlineStr"/>
      <c r="F11" s="7" t="inlineStr"/>
      <c r="G11" s="7" t="inlineStr"/>
      <c r="H11" s="7" t="inlineStr">
        <is>
          <t>Adopt/foster via IG or Petfinder inquiry</t>
        </is>
      </c>
      <c r="I11" s="7" t="inlineStr">
        <is>
          <t>IG @atailoftwokittiesnyc; FB 'A Tail of Two Kitties'</t>
        </is>
      </c>
      <c r="J11" s="7" t="inlineStr">
        <is>
          <t>All-volunteer nonprofit (founder Carissa Aguirre) serving primarily Ridgewood/Bushwick via TNR + foster/adopt. Confirmed still active (2026 press coverage). Instagram/adoption-page primary; no direct public email verified. Re-verified 2026-08-26.</t>
        </is>
      </c>
      <c r="K11" s="9" t="inlineStr">
        <is>
          <t>Medium</t>
        </is>
      </c>
      <c r="L11" s="7" t="inlineStr">
        <is>
          <t>https://northbrooklyncats.org/resources/ ; https://www.adoptapet.com/shelter/86261-a-tail-of-two-kitties-ridgewood-new-york</t>
        </is>
      </c>
      <c r="M11" s="7" t="inlineStr">
        <is>
          <t>2026-08-26</t>
        </is>
      </c>
    </row>
    <row r="12" ht="48" customHeight="1">
      <c r="A12" s="7" t="inlineStr">
        <is>
          <t>Greenpoint Cats Club</t>
        </is>
      </c>
      <c r="B12" s="7" t="inlineStr">
        <is>
          <t>solo rescuer / community group</t>
        </is>
      </c>
      <c r="C12" s="7" t="inlineStr">
        <is>
          <t>Greenpoint</t>
        </is>
      </c>
      <c r="D12" s="7" t="inlineStr">
        <is>
          <t>11222</t>
        </is>
      </c>
      <c r="E12" s="7" t="inlineStr"/>
      <c r="F12" s="7" t="inlineStr"/>
      <c r="G12" s="7" t="inlineStr">
        <is>
          <t>https://greenpointcatclub.weebly.com/</t>
        </is>
      </c>
      <c r="H12" s="7" t="inlineStr">
        <is>
          <t>Newsletter signup on site; monthly meetings in Greenpoint</t>
        </is>
      </c>
      <c r="I12" s="7" t="inlineStr">
        <is>
          <t>IG @greenpointcatclub</t>
        </is>
      </c>
      <c r="J12" s="7" t="inlineStr">
        <is>
          <t>Community cat club that pools neighborhood resources for stray/colony care. Separate from Greenpoint Cats. Meeting-based; contact via IG/site.</t>
        </is>
      </c>
      <c r="K12" s="9" t="inlineStr">
        <is>
          <t>Medium</t>
        </is>
      </c>
      <c r="L12" s="7" t="inlineStr">
        <is>
          <t>https://greenpointcatclub.weebly.com/</t>
        </is>
      </c>
      <c r="M12" s="7" t="inlineStr">
        <is>
          <t>2026-08-26</t>
        </is>
      </c>
    </row>
    <row r="13" ht="78" customHeight="1">
      <c r="A13" s="7" t="inlineStr">
        <is>
          <t>Big City Little Kitty (RETIRED - do not rely)</t>
        </is>
      </c>
      <c r="B13" s="7" t="inlineStr">
        <is>
          <t>solo rescuer (inactive)</t>
        </is>
      </c>
      <c r="C13" s="7" t="inlineStr">
        <is>
          <t>Formerly North Brooklyn / NYC</t>
        </is>
      </c>
      <c r="D13" s="7" t="inlineStr">
        <is>
          <t>-</t>
        </is>
      </c>
      <c r="E13" s="7" t="inlineStr"/>
      <c r="F13" s="7" t="inlineStr">
        <is>
          <t>bigcitylittlekitty@yahoo.com (historical)</t>
        </is>
      </c>
      <c r="G13" s="7" t="inlineStr">
        <is>
          <t>http://bigcitylittlekitty.blogspot.com</t>
        </is>
      </c>
      <c r="H13" s="7" t="inlineStr">
        <is>
          <t>-</t>
        </is>
      </c>
      <c r="I13" s="7" t="inlineStr">
        <is>
          <t>Petfinder: bigcitylittlekitty (historical)</t>
        </is>
      </c>
      <c r="J13" s="7" t="inlineStr">
        <is>
          <t>Solo foster/TNR rescuer (Lisa) historically tied to North Brooklyn Cats &amp; Bushwick Street Cats. The blog states the project has RETIRED. Listed only so you know the name = inactive; do NOT route live cases here. Founders' current work is via NBC / BSC.</t>
        </is>
      </c>
      <c r="K13" s="10" t="inlineStr">
        <is>
          <t>Low</t>
        </is>
      </c>
      <c r="L13" s="7" t="inlineStr">
        <is>
          <t>http://bigcitylittlekitty.blogspot.com/p/about-us-north-brooklyn-cats-bushwick.html</t>
        </is>
      </c>
      <c r="M13" s="7" t="inlineStr">
        <is>
          <t>2026-08-26</t>
        </is>
      </c>
    </row>
    <row r="14" ht="48" customHeight="1">
      <c r="A14" s="7" t="inlineStr">
        <is>
          <t>Brooklyn Neighborhood Cats</t>
        </is>
      </c>
      <c r="B14" s="7" t="inlineStr">
        <is>
          <t>solo rescuer / TNR</t>
        </is>
      </c>
      <c r="C14" s="7" t="inlineStr">
        <is>
          <t>North Brooklyn</t>
        </is>
      </c>
      <c r="D14" s="7" t="inlineStr">
        <is>
          <t>North BK (varies)</t>
        </is>
      </c>
      <c r="E14" s="7" t="inlineStr"/>
      <c r="F14" s="7" t="inlineStr"/>
      <c r="G14" s="7" t="inlineStr"/>
      <c r="H14" s="7" t="inlineStr">
        <is>
          <t>Via Instagram DM</t>
        </is>
      </c>
      <c r="I14" s="7" t="inlineStr">
        <is>
          <t>IG @brooklynneighborhoodcats</t>
        </is>
      </c>
      <c r="J14" s="7" t="inlineStr">
        <is>
          <t>Hyper-local group from North Brooklyn Cats' directory. Not to be confused with Neighborhood Cats (citywide). Instagram-primary.</t>
        </is>
      </c>
      <c r="K14" s="10" t="inlineStr">
        <is>
          <t>Low</t>
        </is>
      </c>
      <c r="L14" s="7" t="inlineStr">
        <is>
          <t>https://northbrooklyncats.org/resources/</t>
        </is>
      </c>
      <c r="M14" s="7" t="inlineStr">
        <is>
          <t>2026-08-26</t>
        </is>
      </c>
    </row>
    <row r="15" ht="33" customHeight="1">
      <c r="A15" s="7" t="inlineStr">
        <is>
          <t>Harman Cat Rescue</t>
        </is>
      </c>
      <c r="B15" s="7" t="inlineStr">
        <is>
          <t>solo rescuer / rescue+adoption</t>
        </is>
      </c>
      <c r="C15" s="7" t="inlineStr">
        <is>
          <t>North Brooklyn</t>
        </is>
      </c>
      <c r="D15" s="7" t="inlineStr">
        <is>
          <t>North BK (varies)</t>
        </is>
      </c>
      <c r="E15" s="7" t="inlineStr"/>
      <c r="F15" s="7" t="inlineStr"/>
      <c r="G15" s="7" t="inlineStr"/>
      <c r="H15" s="7" t="inlineStr">
        <is>
          <t>Via Instagram DM</t>
        </is>
      </c>
      <c r="I15" s="7" t="inlineStr">
        <is>
          <t>IG @harman_catrescue</t>
        </is>
      </c>
      <c r="J15" s="7" t="inlineStr">
        <is>
          <t>Hyper-local rescue from North Brooklyn Cats' directory. Instagram-primary; confirm via IG.</t>
        </is>
      </c>
      <c r="K15" s="10" t="inlineStr">
        <is>
          <t>Low</t>
        </is>
      </c>
      <c r="L15" s="7" t="inlineStr">
        <is>
          <t>https://northbrooklyncats.org/resources/</t>
        </is>
      </c>
      <c r="M15" s="7" t="inlineStr">
        <is>
          <t>2026-08-26</t>
        </is>
      </c>
    </row>
    <row r="16" ht="33" customHeight="1">
      <c r="A16" s="7" t="inlineStr">
        <is>
          <t>India Street Cats</t>
        </is>
      </c>
      <c r="B16" s="7" t="inlineStr">
        <is>
          <t>solo rescuer / colony care / TNR</t>
        </is>
      </c>
      <c r="C16" s="7" t="inlineStr">
        <is>
          <t>Greenpoint (India St area)</t>
        </is>
      </c>
      <c r="D16" s="7" t="inlineStr">
        <is>
          <t>11222</t>
        </is>
      </c>
      <c r="E16" s="7" t="inlineStr"/>
      <c r="F16" s="7" t="inlineStr"/>
      <c r="G16" s="7" t="inlineStr"/>
      <c r="H16" s="7" t="inlineStr">
        <is>
          <t>Via Instagram DM</t>
        </is>
      </c>
      <c r="I16" s="7" t="inlineStr">
        <is>
          <t>IG @indiastreetcats</t>
        </is>
      </c>
      <c r="J16" s="7" t="inlineStr">
        <is>
          <t>Hyper-local colony/TNR group in Greenpoint. Instagram-primary; confirm via IG.</t>
        </is>
      </c>
      <c r="K16" s="10" t="inlineStr">
        <is>
          <t>Low</t>
        </is>
      </c>
      <c r="L16" s="7" t="inlineStr">
        <is>
          <t>https://northbrooklyncats.org/resources/</t>
        </is>
      </c>
      <c r="M16" s="7" t="inlineStr">
        <is>
          <t>2026-08-26</t>
        </is>
      </c>
    </row>
    <row r="17" ht="33" customHeight="1">
      <c r="A17" s="7" t="inlineStr">
        <is>
          <t>Los Sures Cats Williamsburg</t>
        </is>
      </c>
      <c r="B17" s="7" t="inlineStr">
        <is>
          <t>solo rescuer / TNR</t>
        </is>
      </c>
      <c r="C17" s="7" t="inlineStr">
        <is>
          <t>Williamsburg (Southside / Los Sures)</t>
        </is>
      </c>
      <c r="D17" s="7" t="inlineStr">
        <is>
          <t>11211, 11249</t>
        </is>
      </c>
      <c r="E17" s="7" t="inlineStr"/>
      <c r="F17" s="7" t="inlineStr"/>
      <c r="G17" s="7" t="inlineStr"/>
      <c r="H17" s="7" t="inlineStr">
        <is>
          <t>Via Instagram DM</t>
        </is>
      </c>
      <c r="I17" s="7" t="inlineStr">
        <is>
          <t>IG @gatoslossures</t>
        </is>
      </c>
      <c r="J17" s="7" t="inlineStr">
        <is>
          <t>Hyper-local Williamsburg TNR group (bilingual). Instagram-primary; confirm via IG.</t>
        </is>
      </c>
      <c r="K17" s="10" t="inlineStr">
        <is>
          <t>Low</t>
        </is>
      </c>
      <c r="L17" s="7" t="inlineStr">
        <is>
          <t>https://northbrooklyncats.org/resources/</t>
        </is>
      </c>
      <c r="M17" s="7" t="inlineStr">
        <is>
          <t>2026-08-26</t>
        </is>
      </c>
    </row>
    <row r="18" ht="48" customHeight="1">
      <c r="A18" s="7" t="inlineStr">
        <is>
          <t>Oak Street Cat Gang / Death Row Cats NYC</t>
        </is>
      </c>
      <c r="B18" s="7" t="inlineStr">
        <is>
          <t>solo rescuer / ACC advocacy</t>
        </is>
      </c>
      <c r="C18" s="7" t="inlineStr">
        <is>
          <t>North Brooklyn + citywide ACC at-risk advocacy</t>
        </is>
      </c>
      <c r="D18" s="7" t="inlineStr">
        <is>
          <t>North BK / citywide</t>
        </is>
      </c>
      <c r="E18" s="7" t="inlineStr"/>
      <c r="F18" s="7" t="inlineStr"/>
      <c r="G18" s="7" t="inlineStr"/>
      <c r="H18" s="7" t="inlineStr">
        <is>
          <t>Via Instagram DM</t>
        </is>
      </c>
      <c r="I18" s="7" t="inlineStr">
        <is>
          <t>IG @oakstreetcatgang (also runs Death Row Cats NYC networking for at-risk ACC cats)</t>
        </is>
      </c>
      <c r="J18" s="7" t="inlineStr">
        <is>
          <t>Hyper-local rescuer that also networks urgent/at-risk shelter (ACC) cats citywide. Instagram-primary.</t>
        </is>
      </c>
      <c r="K18" s="10" t="inlineStr">
        <is>
          <t>Low</t>
        </is>
      </c>
      <c r="L18" s="7" t="inlineStr">
        <is>
          <t>https://northbrooklyncats.org/resources/</t>
        </is>
      </c>
      <c r="M18" s="7" t="inlineStr">
        <is>
          <t>2026-08-26</t>
        </is>
      </c>
    </row>
    <row r="19" ht="48" customHeight="1">
      <c r="A19" s="7" t="inlineStr">
        <is>
          <t>The 5 Kittens Rescue</t>
        </is>
      </c>
      <c r="B19" s="7" t="inlineStr">
        <is>
          <t>solo rescuer / rescue+adoption</t>
        </is>
      </c>
      <c r="C19" s="7" t="inlineStr">
        <is>
          <t>North Brooklyn (Williamsburg/Greenpoint/Bushwick)</t>
        </is>
      </c>
      <c r="D19" s="7" t="inlineStr">
        <is>
          <t>North BK (varies)</t>
        </is>
      </c>
      <c r="E19" s="7" t="inlineStr"/>
      <c r="F19" s="7" t="inlineStr"/>
      <c r="G19" s="7" t="inlineStr"/>
      <c r="H19" s="7" t="inlineStr">
        <is>
          <t>Via Instagram DM</t>
        </is>
      </c>
      <c r="I19" s="7" t="inlineStr">
        <is>
          <t>IG @the5kittensrescue</t>
        </is>
      </c>
      <c r="J19" s="7" t="inlineStr">
        <is>
          <t>Hyper-local/solo rescue listed in North Brooklyn Cats' vetted directory. Instagram-primary; confirm scope and contact via IG.</t>
        </is>
      </c>
      <c r="K19" s="10" t="inlineStr">
        <is>
          <t>Low</t>
        </is>
      </c>
      <c r="L19" s="7" t="inlineStr">
        <is>
          <t>https://northbrooklyncats.org/resources/</t>
        </is>
      </c>
      <c r="M19" s="7" t="inlineStr">
        <is>
          <t>2026-08-26</t>
        </is>
      </c>
    </row>
    <row r="20" ht="48" customHeight="1">
      <c r="A20" s="7" t="inlineStr">
        <is>
          <t>Thundercats TNR</t>
        </is>
      </c>
      <c r="B20" s="7" t="inlineStr">
        <is>
          <t>solo rescuer / TNR</t>
        </is>
      </c>
      <c r="C20" s="7" t="inlineStr">
        <is>
          <t>North/Central Brooklyn (Bushwick area &amp; beyond)</t>
        </is>
      </c>
      <c r="D20" s="7" t="inlineStr">
        <is>
          <t>North BK (varies)</t>
        </is>
      </c>
      <c r="E20" s="7" t="inlineStr"/>
      <c r="F20" s="7" t="inlineStr"/>
      <c r="G20" s="7" t="inlineStr"/>
      <c r="H20" s="7" t="inlineStr">
        <is>
          <t>Via Facebook DM</t>
        </is>
      </c>
      <c r="I20" s="7" t="inlineStr">
        <is>
          <t>FB /thundercatsTNR</t>
        </is>
      </c>
      <c r="J20" s="7" t="inlineStr">
        <is>
          <t>Longtime Brooklyn TNR group, frequent Bushwick Street Cats / North Brooklyn Cats partner. Facebook-primary; confirm current activity + scope via DM.</t>
        </is>
      </c>
      <c r="K20" s="10" t="inlineStr">
        <is>
          <t>Low</t>
        </is>
      </c>
      <c r="L20" s="7" t="inlineStr">
        <is>
          <t>https://www.facebook.com/thundercatsTNR/</t>
        </is>
      </c>
      <c r="M20" s="7" t="inlineStr">
        <is>
          <t>2026-08-26</t>
        </is>
      </c>
    </row>
    <row r="21" ht="33" customHeight="1">
      <c r="A21" s="7" t="inlineStr">
        <is>
          <t>West Street Whiskers</t>
        </is>
      </c>
      <c r="B21" s="7" t="inlineStr">
        <is>
          <t>solo rescuer / colony care</t>
        </is>
      </c>
      <c r="C21" s="7" t="inlineStr">
        <is>
          <t>Greenpoint (West St area)</t>
        </is>
      </c>
      <c r="D21" s="7" t="inlineStr">
        <is>
          <t>11222</t>
        </is>
      </c>
      <c r="E21" s="7" t="inlineStr"/>
      <c r="F21" s="7" t="inlineStr"/>
      <c r="G21" s="7" t="inlineStr"/>
      <c r="H21" s="7" t="inlineStr">
        <is>
          <t>Via Instagram DM</t>
        </is>
      </c>
      <c r="I21" s="7" t="inlineStr">
        <is>
          <t>IG @weststreetwhiskers</t>
        </is>
      </c>
      <c r="J21" s="7" t="inlineStr">
        <is>
          <t>Hyper-local Greenpoint colony group. Instagram-primary; confirm via IG.</t>
        </is>
      </c>
      <c r="K21" s="10" t="inlineStr">
        <is>
          <t>Low</t>
        </is>
      </c>
      <c r="L21" s="7" t="inlineStr">
        <is>
          <t>https://northbrooklyncats.org/resources/</t>
        </is>
      </c>
      <c r="M21" s="7" t="inlineStr">
        <is>
          <t>2026-08-26</t>
        </is>
      </c>
    </row>
    <row r="22">
      <c r="A22" s="4" t="inlineStr">
        <is>
          <t>CENTRAL BROOKLYN  (Flatbush / Bed-Stuy / Crown Heights / Prospect Hts)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6" t="n"/>
    </row>
    <row r="23" ht="63" customHeight="1">
      <c r="A23" s="7" t="inlineStr">
        <is>
          <t>Backyard Cats of Bed-Stuy</t>
        </is>
      </c>
      <c r="B23" s="7" t="inlineStr">
        <is>
          <t>solo rescuer / TNR</t>
        </is>
      </c>
      <c r="C23" s="7" t="inlineStr">
        <is>
          <t>Bedford-Stuyvesant</t>
        </is>
      </c>
      <c r="D23" s="7" t="inlineStr">
        <is>
          <t>11205, 11206, 11216, 11221, 11233</t>
        </is>
      </c>
      <c r="E23" s="7" t="inlineStr"/>
      <c r="F23" s="7" t="inlineStr"/>
      <c r="G23" s="7" t="inlineStr">
        <is>
          <t>https://www.backyardcatsofbedstuy.com</t>
        </is>
      </c>
      <c r="H23" s="7" t="inlineStr">
        <is>
          <t>Contact form; adoption &amp; foster applications on site</t>
        </is>
      </c>
      <c r="I23" s="7" t="inlineStr">
        <is>
          <t>IG @backyardcatsofbedstuy; Venmo @Nicole-Torre</t>
        </is>
      </c>
      <c r="J23" s="7" t="inlineStr">
        <is>
          <t>Solo TNR-certified independent rescuer (Nicole), active since 2020. TNRM + friendly placement + resource-sharing. Exactly the kind of one-person rescuer who often actually responds. Contact via site form/IG.</t>
        </is>
      </c>
      <c r="K23" s="8" t="inlineStr">
        <is>
          <t>High</t>
        </is>
      </c>
      <c r="L23" s="7" t="inlineStr">
        <is>
          <t>https://www.backyardcatsofbedstuy.com/</t>
        </is>
      </c>
      <c r="M23" s="7" t="inlineStr">
        <is>
          <t>2026-08-26</t>
        </is>
      </c>
    </row>
    <row r="24" ht="48" customHeight="1">
      <c r="A24" s="7" t="inlineStr">
        <is>
          <t>Carroll Street Cat Club</t>
        </is>
      </c>
      <c r="B24" s="7" t="inlineStr">
        <is>
          <t>TNR / rescue+adoption</t>
        </is>
      </c>
      <c r="C24" s="7" t="inlineStr">
        <is>
          <t>Prospect Heights, western Crown Heights, Prospect Lefferts Gardens</t>
        </is>
      </c>
      <c r="D24" s="7" t="inlineStr">
        <is>
          <t>11238, 11225, 11216</t>
        </is>
      </c>
      <c r="E24" s="7" t="inlineStr"/>
      <c r="F24" s="7" t="inlineStr"/>
      <c r="G24" s="7" t="inlineStr">
        <is>
          <t>https://www.carrollstreetcatclub.org</t>
        </is>
      </c>
      <c r="H24" s="7" t="inlineStr">
        <is>
          <t>TNR support request + adoption/foster application on site</t>
        </is>
      </c>
      <c r="I24" s="7" t="inlineStr">
        <is>
          <t>IG @carroll.street.cat.club; bio.site/carrollstreetcatclub</t>
        </is>
      </c>
      <c r="J24" s="7" t="inlineStr">
        <is>
          <t>Started 2021 from one Carroll St colony; now TNR + rescue across Prospect Heights/W Crown Heights/PLG. Site has TNR request + foster forms. No public phone.</t>
        </is>
      </c>
      <c r="K24" s="8" t="inlineStr">
        <is>
          <t>High</t>
        </is>
      </c>
      <c r="L24" s="7" t="inlineStr">
        <is>
          <t>https://www.carrollstreetcatclub.org/</t>
        </is>
      </c>
      <c r="M24" s="7" t="inlineStr">
        <is>
          <t>2026-08-26</t>
        </is>
      </c>
    </row>
    <row r="25" ht="123" customHeight="1">
      <c r="A25" s="7" t="inlineStr">
        <is>
          <t>Flatbush Cats</t>
        </is>
      </c>
      <c r="B25" s="7" t="inlineStr">
        <is>
          <t>TNR / rescue+adoption / spay-neuter clinic</t>
        </is>
      </c>
      <c r="C25" s="7" t="inlineStr">
        <is>
          <t>Flatbush and East Flatbush (own-project area); Brooklyn-wide via Flatbush Vet</t>
        </is>
      </c>
      <c r="D25" s="7" t="inlineStr">
        <is>
          <t>11203, 11225, 11226, 11210 (north of Ave H)</t>
        </is>
      </c>
      <c r="E25" s="7" t="inlineStr"/>
      <c r="F25" s="7" t="inlineStr">
        <is>
          <t>help@flatbushcats.org; adopt-a-cat@flatbushcats.org; contact@flatbushvet.org (clinic)</t>
        </is>
      </c>
      <c r="G25" s="7" t="inlineStr">
        <is>
          <t>https://www.flatbushcats.org</t>
        </is>
      </c>
      <c r="H25" s="7" t="inlineStr">
        <is>
          <t>https://www.flatbushcats.org/help (service request form)</t>
        </is>
      </c>
      <c r="I25" s="7" t="inlineStr">
        <is>
          <t>IG/FB @flatbushcatsTNR; mailing 2319 Nostrand Ave #100015, Brooklyn 11210</t>
        </is>
      </c>
      <c r="J25" s="7" t="inlineStr">
        <is>
          <t>501(c)(3), founded 2018. Direct TNR/rescue help LIMITED to Flatbush/East Flatbush (11203, 11225, 11226, 11210 north of Ave H); ~24hr response, not an emergency line, priority to TNR-certified volunteers; refers others to Mayor's Alliance/Neighborhood Cats. NOT an intake shelter. Runs Flatbush Vet (see clinic row) - Brooklyn-wide low-cost spay/neuter, 7,500+ surgeries/yr. Re-verified 2026-08-26.</t>
        </is>
      </c>
      <c r="K25" s="8" t="inlineStr">
        <is>
          <t>High</t>
        </is>
      </c>
      <c r="L25" s="7" t="inlineStr">
        <is>
          <t>https://www.flatbushcats.org/help</t>
        </is>
      </c>
      <c r="M25" s="7" t="inlineStr">
        <is>
          <t>2026-08-26</t>
        </is>
      </c>
    </row>
    <row r="26" ht="78" customHeight="1">
      <c r="A26" s="7" t="inlineStr">
        <is>
          <t>Good Home Pet Adoptions</t>
        </is>
      </c>
      <c r="B26" s="7" t="inlineStr">
        <is>
          <t>rescue+adoption / TNR / trap bank</t>
        </is>
      </c>
      <c r="C26" s="7" t="inlineStr">
        <is>
          <t>Central Brooklyn (Crown Heights / Franklin Ave); local TNR</t>
        </is>
      </c>
      <c r="D26" s="7" t="inlineStr">
        <is>
          <t>11238</t>
        </is>
      </c>
      <c r="E26" s="7" t="inlineStr"/>
      <c r="F26" s="7" t="inlineStr">
        <is>
          <t>info@goodhomepetadoptions.org</t>
        </is>
      </c>
      <c r="G26" s="7" t="inlineStr">
        <is>
          <t>https://goodhomepetadoptions.org</t>
        </is>
      </c>
      <c r="H26" s="7" t="inlineStr">
        <is>
          <t>Adoption application on site; TNR/trap-bank support via email</t>
        </is>
      </c>
      <c r="I26" s="7" t="inlineStr">
        <is>
          <t>IG @goodhomepetadoptions; free-roaming Cat Lounge at 751 Franklin Ave 11238 (in Beastie Bestie Pet Provisions), Sat/Sun 12-5 + Wed/Thu 2-7, $6 entry</t>
        </is>
      </c>
      <c r="J26" s="7" t="inlineStr">
        <is>
          <t>Central Brooklyn 501(c)(3) since 2018 (EIN 82-5099392) focused on rehabilitating/rehoming former street cats. Runs a physical free-roaming Cat Lounge, local TNR projects and a community TRAP BANK. Email confirmed on own listings. Verified 2026-08-26.</t>
        </is>
      </c>
      <c r="K26" s="8" t="inlineStr">
        <is>
          <t>High</t>
        </is>
      </c>
      <c r="L26" s="7" t="inlineStr">
        <is>
          <t>https://goodhomepetadoptions.org/visit/ ; https://www.adoptapet.com/shelter/90005-good-home-pet-adoptions-brooklyn-new-york</t>
        </is>
      </c>
      <c r="M26" s="7" t="inlineStr">
        <is>
          <t>2026-08-26</t>
        </is>
      </c>
    </row>
    <row r="27" ht="48" customHeight="1">
      <c r="A27" s="7" t="inlineStr">
        <is>
          <t>NARN - Central Brooklyn (NARN-CB)</t>
        </is>
      </c>
      <c r="B27" s="7" t="inlineStr">
        <is>
          <t>solo rescuer network / TNR / rescue+adoption</t>
        </is>
      </c>
      <c r="C27" s="7" t="inlineStr">
        <is>
          <t>Central Brooklyn: Bed-Stuy, Ocean Hill, Crown Heights</t>
        </is>
      </c>
      <c r="D27" s="7" t="inlineStr">
        <is>
          <t>11216, 11221, 11233, 11238</t>
        </is>
      </c>
      <c r="E27" s="7" t="inlineStr"/>
      <c r="F27" s="7" t="inlineStr"/>
      <c r="G27" s="7" t="inlineStr">
        <is>
          <t>https://bio.site/narn_cb</t>
        </is>
      </c>
      <c r="H27" s="7" t="inlineStr">
        <is>
          <t>Foster: https://forms.gle/iqqbezsxPS2qxoBM7 ; Adopt: https://forms.gle/Q6ME54xouQ3vUCco9</t>
        </is>
      </c>
      <c r="I27" s="7" t="inlineStr">
        <is>
          <t>IG @narn_cb (primary = IG DM); adoptapet.com/shelter/106350</t>
        </is>
      </c>
      <c r="J27" s="7" t="inlineStr">
        <is>
          <t>Network of individual Central-Brooklyn rescuers, no facility. No public email/phone; reach via IG DM or Google Forms. First-class solo/hyper-local network.</t>
        </is>
      </c>
      <c r="K27" s="8" t="inlineStr">
        <is>
          <t>High</t>
        </is>
      </c>
      <c r="L27" s="7" t="inlineStr">
        <is>
          <t>https://bio.site/narn_cb</t>
        </is>
      </c>
      <c r="M27" s="7" t="inlineStr">
        <is>
          <t>2026-08-26</t>
        </is>
      </c>
    </row>
    <row r="28" ht="48" customHeight="1">
      <c r="A28" s="7" t="inlineStr">
        <is>
          <t>Brooklyn Kitty Committee, Inc.</t>
        </is>
      </c>
      <c r="B28" s="7" t="inlineStr">
        <is>
          <t>rescue+adoption</t>
        </is>
      </c>
      <c r="C28" s="7" t="inlineStr">
        <is>
          <t>Brooklyn (general)</t>
        </is>
      </c>
      <c r="D28" s="7" t="inlineStr">
        <is>
          <t>Brooklyn (varies)</t>
        </is>
      </c>
      <c r="E28" s="7" t="inlineStr"/>
      <c r="F28" s="7" t="inlineStr"/>
      <c r="G28" s="7" t="inlineStr">
        <is>
          <t>https://brooklynkittycommittee.bigcartel.com/</t>
        </is>
      </c>
      <c r="H28" s="7" t="inlineStr">
        <is>
          <t>Adoption application via Petfinder / site</t>
        </is>
      </c>
      <c r="I28" s="7" t="inlineStr">
        <is>
          <t>IG @brooklynkittycommittee</t>
        </is>
      </c>
      <c r="J28" s="7" t="inlineStr">
        <is>
          <t>501(c)(3) foster-based cat rescue. Structured adoption process (virtual interview, foster-to-adopt if resident pets). No public phone/email; apply via form/IG.</t>
        </is>
      </c>
      <c r="K28" s="9" t="inlineStr">
        <is>
          <t>Medium</t>
        </is>
      </c>
      <c r="L28" s="7" t="inlineStr">
        <is>
          <t>https://www.petfinder.com/member/us/ny/brooklyn/brooklyn-kitty-committee-ny1613/</t>
        </is>
      </c>
      <c r="M28" s="7" t="inlineStr">
        <is>
          <t>2026-08-26</t>
        </is>
      </c>
    </row>
    <row r="29" ht="33" customHeight="1">
      <c r="A29" s="7" t="inlineStr">
        <is>
          <t>Bed Stuy Kitty Crew</t>
        </is>
      </c>
      <c r="B29" s="7" t="inlineStr">
        <is>
          <t>solo rescuer / TNR</t>
        </is>
      </c>
      <c r="C29" s="7" t="inlineStr">
        <is>
          <t>Bedford-Stuyvesant</t>
        </is>
      </c>
      <c r="D29" s="7" t="inlineStr">
        <is>
          <t>11205, 11206, 11216, 11221, 11233</t>
        </is>
      </c>
      <c r="E29" s="7" t="inlineStr"/>
      <c r="F29" s="7" t="inlineStr"/>
      <c r="G29" s="7" t="inlineStr"/>
      <c r="H29" s="7" t="inlineStr">
        <is>
          <t>Via Instagram DM</t>
        </is>
      </c>
      <c r="I29" s="7" t="inlineStr">
        <is>
          <t>IG @bedstuykittycrew13</t>
        </is>
      </c>
      <c r="J29" s="7" t="inlineStr">
        <is>
          <t>Hyper-local Bed-Stuy TNR/rescue group. Instagram-primary; confirm via IG.</t>
        </is>
      </c>
      <c r="K29" s="10" t="inlineStr">
        <is>
          <t>Low</t>
        </is>
      </c>
      <c r="L29" s="7" t="inlineStr">
        <is>
          <t>https://northbrooklyncats.org/resources/</t>
        </is>
      </c>
      <c r="M29" s="7" t="inlineStr">
        <is>
          <t>2026-08-26</t>
        </is>
      </c>
    </row>
    <row r="30" ht="33" customHeight="1">
      <c r="A30" s="7" t="inlineStr">
        <is>
          <t>Monroe Street Cats (Bed Stuy)</t>
        </is>
      </c>
      <c r="B30" s="7" t="inlineStr">
        <is>
          <t>solo rescuer / TNR</t>
        </is>
      </c>
      <c r="C30" s="7" t="inlineStr">
        <is>
          <t>Bedford-Stuyvesant (Monroe St area)</t>
        </is>
      </c>
      <c r="D30" s="7" t="inlineStr">
        <is>
          <t>11221, 11233</t>
        </is>
      </c>
      <c r="E30" s="7" t="inlineStr"/>
      <c r="F30" s="7" t="inlineStr"/>
      <c r="G30" s="7" t="inlineStr"/>
      <c r="H30" s="7" t="inlineStr">
        <is>
          <t>Via Instagram DM</t>
        </is>
      </c>
      <c r="I30" s="7" t="inlineStr">
        <is>
          <t>IG @monroestreetcats</t>
        </is>
      </c>
      <c r="J30" s="7" t="inlineStr">
        <is>
          <t>Hyper-local Bed-Stuy colony/TNR group. Instagram-primary; confirm via IG.</t>
        </is>
      </c>
      <c r="K30" s="10" t="inlineStr">
        <is>
          <t>Low</t>
        </is>
      </c>
      <c r="L30" s="7" t="inlineStr">
        <is>
          <t>https://northbrooklyncats.org/resources/</t>
        </is>
      </c>
      <c r="M30" s="7" t="inlineStr">
        <is>
          <t>2026-08-26</t>
        </is>
      </c>
    </row>
    <row r="31" ht="33" customHeight="1">
      <c r="A31" s="7" t="inlineStr">
        <is>
          <t>The Brooklyn Rescues (Bed Stuy)</t>
        </is>
      </c>
      <c r="B31" s="7" t="inlineStr">
        <is>
          <t>solo rescuer / rescue+adoption</t>
        </is>
      </c>
      <c r="C31" s="7" t="inlineStr">
        <is>
          <t>Bedford-Stuyvesant / Brooklyn</t>
        </is>
      </c>
      <c r="D31" s="7" t="inlineStr">
        <is>
          <t>11216, 11221, 11233</t>
        </is>
      </c>
      <c r="E31" s="7" t="inlineStr"/>
      <c r="F31" s="7" t="inlineStr"/>
      <c r="G31" s="7" t="inlineStr"/>
      <c r="H31" s="7" t="inlineStr">
        <is>
          <t>Via Instagram DM</t>
        </is>
      </c>
      <c r="I31" s="7" t="inlineStr">
        <is>
          <t>IG @bkrescues</t>
        </is>
      </c>
      <c r="J31" s="7" t="inlineStr">
        <is>
          <t>Hyper-local Bed-Stuy rescue from North Brooklyn Cats' directory. Instagram-primary; confirm via IG.</t>
        </is>
      </c>
      <c r="K31" s="10" t="inlineStr">
        <is>
          <t>Low</t>
        </is>
      </c>
      <c r="L31" s="7" t="inlineStr">
        <is>
          <t>https://northbrooklyncats.org/resources/</t>
        </is>
      </c>
      <c r="M31" s="7" t="inlineStr">
        <is>
          <t>2026-08-26</t>
        </is>
      </c>
    </row>
    <row r="32">
      <c r="A32" s="4" t="inlineStr">
        <is>
          <t>EAST BROOKLYN  (Ocean Hill / Brownsville / East New York)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6" t="n"/>
    </row>
    <row r="33" ht="48" customHeight="1">
      <c r="A33" s="7" t="inlineStr">
        <is>
          <t>Lincoln Terrace Park Cats (LTPC)</t>
        </is>
      </c>
      <c r="B33" s="7" t="inlineStr">
        <is>
          <t>solo rescuer / TNR / rescue+adoption</t>
        </is>
      </c>
      <c r="C33" s="7" t="inlineStr">
        <is>
          <t>Crown Heights / Brownsville (Lincoln Terrace Park area)</t>
        </is>
      </c>
      <c r="D33" s="7" t="inlineStr">
        <is>
          <t>11212, 11213, 11233</t>
        </is>
      </c>
      <c r="E33" s="7" t="inlineStr"/>
      <c r="F33" s="7" t="inlineStr">
        <is>
          <t>lincolnterraceparkcats@gmail.com</t>
        </is>
      </c>
      <c r="G33" s="7" t="inlineStr">
        <is>
          <t>https://www.lincolnterraceparkcats.com</t>
        </is>
      </c>
      <c r="H33" s="7" t="inlineStr">
        <is>
          <t>Adopt/contact via site</t>
        </is>
      </c>
      <c r="I33" s="7" t="inlineStr">
        <is>
          <t>IG @lincolnterraceparkcats; FB /LincolnTerraceParkCats</t>
        </is>
      </c>
      <c r="J33" s="7" t="inlineStr">
        <is>
          <t>Hyper-local 501(c)(3) founded 2019 by Michelle Marwitz (TNR-certified 2018). Colony care + rescue near Lincoln Terrace Park. Email + IG. EIN 85-2797295.</t>
        </is>
      </c>
      <c r="K33" s="8" t="inlineStr">
        <is>
          <t>High</t>
        </is>
      </c>
      <c r="L33" s="7" t="inlineStr">
        <is>
          <t>https://www.lincolnterraceparkcats.com/contact</t>
        </is>
      </c>
      <c r="M33" s="7" t="inlineStr">
        <is>
          <t>2026-08-26</t>
        </is>
      </c>
    </row>
    <row r="34" ht="93" customHeight="1">
      <c r="A34" s="7" t="inlineStr">
        <is>
          <t>Ocean Hill Cats</t>
        </is>
      </c>
      <c r="B34" s="7" t="inlineStr">
        <is>
          <t>TNR / rescue+adoption</t>
        </is>
      </c>
      <c r="C34" s="7" t="inlineStr">
        <is>
          <t>Ocean Hill and nearby Central/East Brooklyn</t>
        </is>
      </c>
      <c r="D34" s="7" t="inlineStr">
        <is>
          <t>11212, 11233</t>
        </is>
      </c>
      <c r="E34" s="7" t="inlineStr"/>
      <c r="F34" s="7" t="inlineStr">
        <is>
          <t>info@oceanhillcats.com</t>
        </is>
      </c>
      <c r="G34" s="7" t="inlineStr">
        <is>
          <t>https://www.oceanhillcats.com</t>
        </is>
      </c>
      <c r="H34" s="7" t="inlineStr">
        <is>
          <t>Adopt/foster via Linktree https://linktr.ee/oceanhillcats</t>
        </is>
      </c>
      <c r="I34" s="7" t="inlineStr">
        <is>
          <t>IG @oceanhillcats (main channel); FB /oceanhillcats</t>
        </is>
      </c>
      <c r="J34" s="7" t="inlineStr">
        <is>
          <t>Very local 501(c)(3) (EIN 88-0563037, IRS ruling 2022; reg. address 434 Marion St, Brooklyn 11233), fully foster-based (no walk-in). info@ email confirmed on own site. TNR + friendly placement + colony care; helps low-income owners access low-cost vet/spay-neuter. Re-verified 2026-08-26.</t>
        </is>
      </c>
      <c r="K34" s="8" t="inlineStr">
        <is>
          <t>High</t>
        </is>
      </c>
      <c r="L34" s="7" t="inlineStr">
        <is>
          <t>https://www.oceanhillcats.com/</t>
        </is>
      </c>
      <c r="M34" s="7" t="inlineStr">
        <is>
          <t>2026-08-26</t>
        </is>
      </c>
    </row>
    <row r="35" ht="63" customHeight="1">
      <c r="A35" s="7" t="inlineStr">
        <is>
          <t>Paws of Hope NYC</t>
        </is>
      </c>
      <c r="B35" s="7" t="inlineStr">
        <is>
          <t>rescue+adoption / TNR</t>
        </is>
      </c>
      <c r="C35" s="7" t="inlineStr">
        <is>
          <t>Brooklyn (East New York / citywide foster network)</t>
        </is>
      </c>
      <c r="D35" s="7" t="inlineStr">
        <is>
          <t>11239 + citywide</t>
        </is>
      </c>
      <c r="E35" s="7" t="inlineStr"/>
      <c r="F35" s="7" t="inlineStr"/>
      <c r="G35" s="7" t="inlineStr">
        <is>
          <t>https://pawsofhopenyc.org</t>
        </is>
      </c>
      <c r="H35" s="7" t="inlineStr">
        <is>
          <t>Adoption application via Petfinder; email list signup on site</t>
        </is>
      </c>
      <c r="I35" s="7" t="inlineStr">
        <is>
          <t>IG @pawsofhopenyc (38K); FB /PAWSOFHOPENYC</t>
        </is>
      </c>
      <c r="J35" s="7" t="inlineStr">
        <is>
          <t>Foster-based Brooklyn rescue (all cats in foster homes) - rescue + medical care + TNR support (EIN 85-0996451). Structured adoption (application, interview, home check). No public phone/email; apply via form / DM.</t>
        </is>
      </c>
      <c r="K35" s="8" t="inlineStr">
        <is>
          <t>High</t>
        </is>
      </c>
      <c r="L35" s="7" t="inlineStr">
        <is>
          <t>https://pawsofhopenyc.org/ ; https://www.petfinder.com/member/us/ny/brooklyn/paws-of-hope-nyc-ny1532/</t>
        </is>
      </c>
      <c r="M35" s="7" t="inlineStr">
        <is>
          <t>2026-08-26</t>
        </is>
      </c>
    </row>
    <row r="36" ht="48" customHeight="1">
      <c r="A36" s="7" t="inlineStr">
        <is>
          <t>Bedford Corners Community Cats (BC3)</t>
        </is>
      </c>
      <c r="B36" s="7" t="inlineStr">
        <is>
          <t>solo rescuer / TNR / rescue+adoption</t>
        </is>
      </c>
      <c r="C36" s="7" t="inlineStr">
        <is>
          <t>East New York / Bedford corners area</t>
        </is>
      </c>
      <c r="D36" s="7" t="inlineStr">
        <is>
          <t>11207, 11208</t>
        </is>
      </c>
      <c r="E36" s="7" t="inlineStr"/>
      <c r="F36" s="7" t="inlineStr"/>
      <c r="G36" s="7" t="inlineStr"/>
      <c r="H36" s="7" t="inlineStr">
        <is>
          <t>Via Instagram/Facebook DM</t>
        </is>
      </c>
      <c r="I36" s="7" t="inlineStr">
        <is>
          <t>IG @bc3cats; FB /BC3cats</t>
        </is>
      </c>
      <c r="J36" s="7" t="inlineStr">
        <is>
          <t>Targeted TNR + cat/kitten rescue group in East New York. Longtime Bushwick Street Cats partner. Instagram/FB-primary; confirm via DM.</t>
        </is>
      </c>
      <c r="K36" s="9" t="inlineStr">
        <is>
          <t>Medium</t>
        </is>
      </c>
      <c r="L36" s="7" t="inlineStr">
        <is>
          <t>https://www.instagram.com/bc3cats/ ; https://www.facebook.com/BC3cats/</t>
        </is>
      </c>
      <c r="M36" s="7" t="inlineStr">
        <is>
          <t>2026-08-26</t>
        </is>
      </c>
    </row>
    <row r="37" ht="33" customHeight="1">
      <c r="A37" s="7" t="inlineStr">
        <is>
          <t>800 Kitties Rescue</t>
        </is>
      </c>
      <c r="B37" s="7" t="inlineStr">
        <is>
          <t>solo rescuer / rescue+adoption</t>
        </is>
      </c>
      <c r="C37" s="7" t="inlineStr">
        <is>
          <t>Central/East Brooklyn</t>
        </is>
      </c>
      <c r="D37" s="7" t="inlineStr">
        <is>
          <t>East BK (varies)</t>
        </is>
      </c>
      <c r="E37" s="7" t="inlineStr"/>
      <c r="F37" s="7" t="inlineStr"/>
      <c r="G37" s="7" t="inlineStr"/>
      <c r="H37" s="7" t="inlineStr">
        <is>
          <t>Via Instagram DM</t>
        </is>
      </c>
      <c r="I37" s="7" t="inlineStr">
        <is>
          <t>IG @800kittiesrescue</t>
        </is>
      </c>
      <c r="J37" s="7" t="inlineStr">
        <is>
          <t>Hyper-local rescue from North Brooklyn Cats' directory. Instagram-primary; confirm via IG.</t>
        </is>
      </c>
      <c r="K37" s="10" t="inlineStr">
        <is>
          <t>Low</t>
        </is>
      </c>
      <c r="L37" s="7" t="inlineStr">
        <is>
          <t>https://northbrooklyncats.org/resources/</t>
        </is>
      </c>
      <c r="M37" s="7" t="inlineStr">
        <is>
          <t>2026-08-26</t>
        </is>
      </c>
    </row>
    <row r="38" ht="33" customHeight="1">
      <c r="A38" s="7" t="inlineStr">
        <is>
          <t>Barbey Street Cats</t>
        </is>
      </c>
      <c r="B38" s="7" t="inlineStr">
        <is>
          <t>solo rescuer / TNR</t>
        </is>
      </c>
      <c r="C38" s="7" t="inlineStr">
        <is>
          <t>East New York (Barbey St area)</t>
        </is>
      </c>
      <c r="D38" s="7" t="inlineStr">
        <is>
          <t>11207</t>
        </is>
      </c>
      <c r="E38" s="7" t="inlineStr"/>
      <c r="F38" s="7" t="inlineStr"/>
      <c r="G38" s="7" t="inlineStr"/>
      <c r="H38" s="7" t="inlineStr">
        <is>
          <t>Via Instagram DM</t>
        </is>
      </c>
      <c r="I38" s="7" t="inlineStr">
        <is>
          <t>IG @barbeystreetcats</t>
        </is>
      </c>
      <c r="J38" s="7" t="inlineStr">
        <is>
          <t>Hyper-local East New York colony/TNR group. Instagram-primary; confirm via IG.</t>
        </is>
      </c>
      <c r="K38" s="10" t="inlineStr">
        <is>
          <t>Low</t>
        </is>
      </c>
      <c r="L38" s="7" t="inlineStr">
        <is>
          <t>https://northbrooklyncats.org/resources/</t>
        </is>
      </c>
      <c r="M38" s="7" t="inlineStr">
        <is>
          <t>2026-08-26</t>
        </is>
      </c>
    </row>
    <row r="39">
      <c r="A39" s="4" t="inlineStr">
        <is>
          <t>SOUTH &amp; SW BROOKLYN  (Sunset Park / Bay Ridge / Midwood / Sheepshead Bay)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6" t="n"/>
    </row>
    <row r="40" ht="78" customHeight="1">
      <c r="A40" s="7" t="inlineStr">
        <is>
          <t>AMA Animal Rescue (Angels for Mistreated Animals)</t>
        </is>
      </c>
      <c r="B40" s="7" t="inlineStr">
        <is>
          <t>rescue+adoption (physical shelter)</t>
        </is>
      </c>
      <c r="C40" s="7" t="inlineStr">
        <is>
          <t>South Brooklyn (based Gravesend/Bath Beach); citywide + beyond</t>
        </is>
      </c>
      <c r="D40" s="7" t="inlineStr">
        <is>
          <t>11214</t>
        </is>
      </c>
      <c r="E40" s="7" t="inlineStr">
        <is>
          <t>(347) 448-5944</t>
        </is>
      </c>
      <c r="F40" s="7" t="inlineStr">
        <is>
          <t>amaanimalrescue@gmail.com</t>
        </is>
      </c>
      <c r="G40" s="7" t="inlineStr">
        <is>
          <t>https://amaanimalrescue.org</t>
        </is>
      </c>
      <c r="H40" s="7" t="inlineStr">
        <is>
          <t>https://amaanimalrescue.org/adoption-application/</t>
        </is>
      </c>
      <c r="I40" s="7" t="inlineStr">
        <is>
          <t>IG @amaanimalrescue (147K); FB /AmaAnimalRescue; 2815 Cropsey Ave, Brooklyn 11214 (BY APPOINTMENT ONLY, 7 days 9am-6pm)</t>
        </is>
      </c>
      <c r="J40" s="7" t="inlineStr">
        <is>
          <t>NYS 501(c)(3) no-kill shelter since 2014, ~1,200 sq ft facility (by appointment only, not walk-in). Focus on severe abuse/neglect/medical cases (dogs + cats). Phone + email confirmed. Not primarily a TNR group. Re-verified 2026-08-26.</t>
        </is>
      </c>
      <c r="K40" s="8" t="inlineStr">
        <is>
          <t>High</t>
        </is>
      </c>
      <c r="L40" s="7" t="inlineStr">
        <is>
          <t>https://www.yelp.com/biz/ama-animal-rescue-brooklyn ; https://amaanimalrescue.org/</t>
        </is>
      </c>
      <c r="M40" s="7" t="inlineStr">
        <is>
          <t>2026-08-26</t>
        </is>
      </c>
    </row>
    <row r="41" ht="123" customHeight="1">
      <c r="A41" s="7" t="inlineStr">
        <is>
          <t>Bay Ridge Kittens</t>
        </is>
      </c>
      <c r="B41" s="7" t="inlineStr">
        <is>
          <t>solo rescuer / TNR / neonatal rescue</t>
        </is>
      </c>
      <c r="C41" s="7" t="inlineStr">
        <is>
          <t>Bay Ridge and South Brooklyn</t>
        </is>
      </c>
      <c r="D41" s="7" t="inlineStr">
        <is>
          <t>11209, 11220, 11228</t>
        </is>
      </c>
      <c r="E41" s="7" t="inlineStr"/>
      <c r="F41" s="7" t="inlineStr"/>
      <c r="G41" s="7" t="inlineStr"/>
      <c r="H41" s="7" t="inlineStr">
        <is>
          <t>Adoption app: https://bit.ly/brkadopt (jotform)</t>
        </is>
      </c>
      <c r="I41" s="7" t="inlineStr">
        <is>
          <t>IG @bayridgekittens; FB /bayridgekittens; Venmo @bayridgekittens; weekend adoptions at My Natural Pet Store, 8318 5th Ave</t>
        </is>
      </c>
      <c r="J41" s="7" t="inlineStr">
        <is>
          <t>Tiny all-volunteer rescue = one person, Maggie Shnayerson (@bayridgekittens, 30K); also Medical Coordinator for Flatbush Cats (not a vet). SPECIALTY: critically ill / underage neonatal kittens + Bay Ridge TNR. Adopts kittens in pairs. Contact via IG/adoption form; Venmo @bayridgekittens; weekend adoptions at My Natural Pet Store, 8318 5th Ave. Textbook first-class solo rescuer. Re-verified 2026-08-26.</t>
        </is>
      </c>
      <c r="K41" s="8" t="inlineStr">
        <is>
          <t>High</t>
        </is>
      </c>
      <c r="L41" s="7" t="inlineStr">
        <is>
          <t>https://www.petfinder.com/member/us/ny/brooklyn/bay-ridge-kittens-ny1588/</t>
        </is>
      </c>
      <c r="M41" s="7" t="inlineStr">
        <is>
          <t>2026-08-26</t>
        </is>
      </c>
    </row>
    <row r="42" ht="123" customHeight="1">
      <c r="A42" s="7" t="inlineStr">
        <is>
          <t>Cat Republic</t>
        </is>
      </c>
      <c r="B42" s="7" t="inlineStr">
        <is>
          <t>TNR / rescue+adoption / referral hub</t>
        </is>
      </c>
      <c r="C42" s="7" t="inlineStr">
        <is>
          <t>South Brooklyn: Borough Park, Bay Ridge, Bensonhurst, Gravesend, Midwood, Brighton Beach, Sheepshead Bay, Marine Park; also Park Slope/Gowanus. Based Sunset Park &amp; Kensington</t>
        </is>
      </c>
      <c r="D42" s="7" t="inlineStr">
        <is>
          <t>11204, 11209, 11214, 11218, 11220, 11223, 11224, 11229, 11234, 11235</t>
        </is>
      </c>
      <c r="E42" s="7" t="inlineStr">
        <is>
          <t>929-359-3765</t>
        </is>
      </c>
      <c r="F42" s="7" t="inlineStr">
        <is>
          <t>hello@catrepublic.com</t>
        </is>
      </c>
      <c r="G42" s="7" t="inlineStr">
        <is>
          <t>https://catrepublic.com</t>
        </is>
      </c>
      <c r="H42" s="7" t="inlineStr">
        <is>
          <t>Fostering form https://forms.gle/8w2N9jJLQWvGTRe5A ; email/call/IG for help</t>
        </is>
      </c>
      <c r="I42" s="7" t="inlineStr">
        <is>
          <t>IG @catrepublic; FB /catrepublicnyc</t>
        </is>
      </c>
      <c r="J42" s="7" t="inlineStr">
        <is>
          <t>501(c)(3) (EIN 82-2880856, NYS Charities reg 46-53-49), founders Soma &amp; Jen (of Brooklyn Brainery), based Sunset Park &amp; Kensington. Covers the widest South Brooklyn footprint; will connect further-away requests to other orgs. Produces multilingual TNR outreach materials + a TNR-nonprofit startup guide. Strong first call for South/SW Brooklyn. Re-verified 2026-08-26 (service area confirmed on own site).</t>
        </is>
      </c>
      <c r="K42" s="8" t="inlineStr">
        <is>
          <t>High</t>
        </is>
      </c>
      <c r="L42" s="7" t="inlineStr">
        <is>
          <t>https://catrepublic.com/</t>
        </is>
      </c>
      <c r="M42" s="7" t="inlineStr">
        <is>
          <t>2026-08-26</t>
        </is>
      </c>
    </row>
    <row r="43" ht="93" customHeight="1">
      <c r="A43" s="7" t="inlineStr">
        <is>
          <t>K9Kastle</t>
        </is>
      </c>
      <c r="B43" s="7" t="inlineStr">
        <is>
          <t>rescue+adoption / TNR (special-needs cats)</t>
        </is>
      </c>
      <c r="C43" s="7" t="inlineStr">
        <is>
          <t>Southern Brooklyn Petco catteries (Bensonhurst, Sheepshead Bay, Kings Plaza/Marine Park) + Park Slope adoption events</t>
        </is>
      </c>
      <c r="D43" s="7" t="inlineStr">
        <is>
          <t>11204, 11214, 11223, 11229, 11234, 11215</t>
        </is>
      </c>
      <c r="E43" s="7" t="inlineStr"/>
      <c r="F43" s="7" t="inlineStr">
        <is>
          <t>k9kastle@gmail.com</t>
        </is>
      </c>
      <c r="G43" s="7" t="inlineStr">
        <is>
          <t>https://www.k9kastle.org</t>
        </is>
      </c>
      <c r="H43" s="7" t="inlineStr">
        <is>
          <t>Adoption/foster application (PDF) emailed to k9kastle@gmail.com</t>
        </is>
      </c>
      <c r="I43" s="7" t="inlineStr">
        <is>
          <t>Cats housed in south-Brooklyn Petco stores; Sunday adoption events in Park Slope</t>
        </is>
      </c>
      <c r="J43" s="7" t="inlineStr">
        <is>
          <t>501(c)(3) (incorporated Manhattan 10003 but cat ops are physically in southern Brooklyn). NICHE: special-needs cats (3-legged, neurological/wobbly, treatable conditions) pulled from NYCACC, plus TNR. Houses cats in 3 Brooklyn Petco catteries. Email confirmed on own site. Verified 2026-08-26.</t>
        </is>
      </c>
      <c r="K43" s="8" t="inlineStr">
        <is>
          <t>High</t>
        </is>
      </c>
      <c r="L43" s="7" t="inlineStr">
        <is>
          <t>https://www.k9kastle.org/fostervolunteer ; https://www.k9kastle.org/adoption</t>
        </is>
      </c>
      <c r="M43" s="7" t="inlineStr">
        <is>
          <t>2026-08-26</t>
        </is>
      </c>
    </row>
    <row r="44" ht="78" customHeight="1">
      <c r="A44" s="7" t="inlineStr">
        <is>
          <t>NYC Teens for Animals, Inc. (NYCTFA)</t>
        </is>
      </c>
      <c r="B44" s="7" t="inlineStr">
        <is>
          <t>rescue+adoption / TNR advocacy</t>
        </is>
      </c>
      <c r="C44" s="7" t="inlineStr">
        <is>
          <t>Brooklyn-based (Bay Ridge P.O. box); serves NYC-area foster network</t>
        </is>
      </c>
      <c r="D44" s="7" t="inlineStr">
        <is>
          <t>11209 + citywide foster</t>
        </is>
      </c>
      <c r="E44" s="7" t="inlineStr"/>
      <c r="F44" s="7" t="inlineStr">
        <is>
          <t>nycteensforanimals@gmail.com</t>
        </is>
      </c>
      <c r="G44" s="7" t="inlineStr">
        <is>
          <t>https://nyctfa.com</t>
        </is>
      </c>
      <c r="H44" s="7" t="inlineStr">
        <is>
          <t>Applications via Linktree https://linktr.ee/NYCTFA ; contact form on site</t>
        </is>
      </c>
      <c r="I44" s="7" t="inlineStr">
        <is>
          <t>IG @nycteensforanimals; P.O. Box 09-0325, Brooklyn NY 11209</t>
        </is>
      </c>
      <c r="J44" s="7" t="inlineStr">
        <is>
          <t>Small foster-based 501(c)(3) (EIN 82-2535966), founded by Sofia Annunziata (started at age 12). Rescues cats/kittens (and some dogs), full vet care before adoption, advocates spay/neuter + TNR. Email confirmed on own listings. Active site 2026. Verified 2026-08-26.</t>
        </is>
      </c>
      <c r="K44" s="8" t="inlineStr">
        <is>
          <t>High</t>
        </is>
      </c>
      <c r="L44" s="7" t="inlineStr">
        <is>
          <t>https://www.adoptapet.com/shelter/119551-nyc-teens-for-animals-inc-brooklyn-new-york ; https://www.guidestar.org/profile/82-2535966</t>
        </is>
      </c>
      <c r="M44" s="7" t="inlineStr">
        <is>
          <t>2026-08-26</t>
        </is>
      </c>
    </row>
    <row r="45" ht="153" customHeight="1">
      <c r="A45" s="7" t="inlineStr">
        <is>
          <t>Sean Casey Animal Rescue (SCAR)</t>
        </is>
      </c>
      <c r="B45" s="7" t="inlineStr">
        <is>
          <t>rescue+adoption (physical shelter)</t>
        </is>
      </c>
      <c r="C45" s="7" t="inlineStr">
        <is>
          <t>Brooklyn-wide; physical shelter in Windsor Terrace/Kensington</t>
        </is>
      </c>
      <c r="D45" s="7" t="inlineStr">
        <is>
          <t>11218</t>
        </is>
      </c>
      <c r="E45" s="7" t="inlineStr">
        <is>
          <t>(718) 436-5163</t>
        </is>
      </c>
      <c r="F45" s="7" t="inlineStr">
        <is>
          <t>info@nyanimalrescue.org; adopt@nyanimalrescue.org</t>
        </is>
      </c>
      <c r="G45" s="7" t="inlineStr">
        <is>
          <t>https://www.nyanimalrescue.org</t>
        </is>
      </c>
      <c r="H45" s="7" t="inlineStr">
        <is>
          <t>Adopt via phone/email; open 7 days 11am-7pm; walk-ins welcome</t>
        </is>
      </c>
      <c r="I45" s="7" t="inlineStr">
        <is>
          <t>IG @nyanimalrescue; 153 East 3rd Street, Brooklyn 11218</t>
        </is>
      </c>
      <c r="J45" s="7" t="inlineStr">
        <is>
          <t>501(c)(3) no-kill shelter since 1998 (NYS RR160). Rare Brooklyn org with a physical, walk-in facility. Takes cats + dogs + reptiles/birds/small mammals. STATUS FLAG (re-verified 2026-08-26): historically took the hardest medical cases 'because no one else will,' but their own site says they're SCALING DOWN the critical-care program due to finances and moving toward only already-adoptable intake - confirm before routing a critical medical case. (A former second location at 551 39th St no longer appears on their own contact page - use 153 E 3rd St.)</t>
        </is>
      </c>
      <c r="K45" s="8" t="inlineStr">
        <is>
          <t>High</t>
        </is>
      </c>
      <c r="L45" s="7" t="inlineStr">
        <is>
          <t>https://www.nyanimalrescue.org/contact</t>
        </is>
      </c>
      <c r="M45" s="7" t="inlineStr">
        <is>
          <t>2026-08-26</t>
        </is>
      </c>
    </row>
    <row r="46" ht="78" customHeight="1">
      <c r="A46" s="7" t="inlineStr">
        <is>
          <t>Sunset Park Cats</t>
        </is>
      </c>
      <c r="B46" s="7" t="inlineStr">
        <is>
          <t>TNR / rescue+adoption</t>
        </is>
      </c>
      <c r="C46" s="7" t="inlineStr">
        <is>
          <t>Sunset Park</t>
        </is>
      </c>
      <c r="D46" s="7" t="inlineStr">
        <is>
          <t>11220, 11232</t>
        </is>
      </c>
      <c r="E46" s="7" t="inlineStr"/>
      <c r="F46" s="7" t="inlineStr">
        <is>
          <t>info@sunsetparkcats.org</t>
        </is>
      </c>
      <c r="G46" s="7" t="inlineStr">
        <is>
          <t>https://www.sunsetparkcats.org</t>
        </is>
      </c>
      <c r="H46" s="7" t="inlineStr">
        <is>
          <t>Adopt/foster applications on site</t>
        </is>
      </c>
      <c r="I46" s="7" t="inlineStr">
        <is>
          <t>IG @sunsetparkcats; TikTok @sunsetparkcats; FB SunsetParkCats; PO Box 205222, Brooklyn 11220</t>
        </is>
      </c>
      <c r="J46" s="7" t="inlineStr">
        <is>
          <t>501(c)(3) formed 2019, TNR-focused with fostering/adoption (started from a 30+ cat alley colony still managed today). Rescues EXCLUSIVELY in Brooklyn; adopts out across NYC area. Email + active social confirmed. EIN 93-4209914. Re-verified 2026-08-26.</t>
        </is>
      </c>
      <c r="K46" s="8" t="inlineStr">
        <is>
          <t>High</t>
        </is>
      </c>
      <c r="L46" s="7" t="inlineStr">
        <is>
          <t>https://www.sunsetparkcats.org/</t>
        </is>
      </c>
      <c r="M46" s="7" t="inlineStr">
        <is>
          <t>2026-08-26</t>
        </is>
      </c>
    </row>
    <row r="47" ht="93" customHeight="1">
      <c r="A47" s="7" t="inlineStr">
        <is>
          <t>Tavi &amp; Friends</t>
        </is>
      </c>
      <c r="B47" s="7" t="inlineStr">
        <is>
          <t>rescue+adoption / TNR (senior &amp; special-needs cats)</t>
        </is>
      </c>
      <c r="C47" s="7" t="inlineStr">
        <is>
          <t>Brooklyn-based (Bay Ridge P.O. box); NYC foster network</t>
        </is>
      </c>
      <c r="D47" s="7" t="inlineStr">
        <is>
          <t>11209 + citywide foster</t>
        </is>
      </c>
      <c r="E47" s="7" t="inlineStr">
        <is>
          <t>646-872-1533</t>
        </is>
      </c>
      <c r="F47" s="7" t="inlineStr">
        <is>
          <t>adopt@taviandfriends.org</t>
        </is>
      </c>
      <c r="G47" s="7" t="inlineStr">
        <is>
          <t>https://taviandfriends.org</t>
        </is>
      </c>
      <c r="H47" s="7" t="inlineStr">
        <is>
          <t>Adoption application downloadable from site</t>
        </is>
      </c>
      <c r="I47" s="7" t="inlineStr">
        <is>
          <t>P.O. Box 090325, Brooklyn NY 11209</t>
        </is>
      </c>
      <c r="J47" s="7" t="inlineStr">
        <is>
          <t>Small all-volunteer 501(c)(3), foster-based. NICHE: senior + special-care/FIV+ cats (lifetime foster if unadoptable), plus TNR and American Curl breed rescue; uses TTouch/holistic therapies. The place to route hard-to-place medical/senior cats. Phone + email confirmed on own contact page. Verified 2026-08-26.</t>
        </is>
      </c>
      <c r="K47" s="8" t="inlineStr">
        <is>
          <t>High</t>
        </is>
      </c>
      <c r="L47" s="7" t="inlineStr">
        <is>
          <t>https://taviandfriends.org/contact.html</t>
        </is>
      </c>
      <c r="M47" s="7" t="inlineStr">
        <is>
          <t>2026-08-26</t>
        </is>
      </c>
    </row>
    <row r="48" ht="123" customHeight="1">
      <c r="A48" s="7" t="inlineStr">
        <is>
          <t>Itty Bitty Kitty NY (IBKNY)</t>
        </is>
      </c>
      <c r="B48" s="7" t="inlineStr">
        <is>
          <t>TNR / rescue+adoption</t>
        </is>
      </c>
      <c r="C48" s="7" t="inlineStr">
        <is>
          <t>Bay Ridge / South Brooklyn</t>
        </is>
      </c>
      <c r="D48" s="7" t="inlineStr">
        <is>
          <t>11209, 11220, 11228</t>
        </is>
      </c>
      <c r="E48" s="7" t="inlineStr"/>
      <c r="F48" s="7" t="inlineStr"/>
      <c r="G48" s="7" t="inlineStr">
        <is>
          <t>https://ittybittykittyny.org</t>
        </is>
      </c>
      <c r="H48" s="7" t="inlineStr">
        <is>
          <t>Adoption/foster application on site; urgent-request page</t>
        </is>
      </c>
      <c r="I48" s="7" t="inlineStr">
        <is>
          <t>IG @ittybittykittyny</t>
        </is>
      </c>
      <c r="J48" s="7" t="inlineStr">
        <is>
          <t>Small all-volunteer Bay Ridge community-cat rescue (NOT a 501(c)(3); donations not tax-deductible). TNR + friendly rescue/adoption; adopts kittens in pairs. Lost donated holding space in 2020 (foster-based since). Site live and adopting as of 2026 re-check; co-founder George Politis (featured in 'The Cat Rescuers') long the primary caretaker - confirm current capacity via application/IG. Re-verified 2026-08-26.</t>
        </is>
      </c>
      <c r="K48" s="9" t="inlineStr">
        <is>
          <t>Medium</t>
        </is>
      </c>
      <c r="L48" s="7" t="inlineStr">
        <is>
          <t>https://ittybittykittyny.org/</t>
        </is>
      </c>
      <c r="M48" s="7" t="inlineStr">
        <is>
          <t>2026-08-26</t>
        </is>
      </c>
    </row>
    <row r="49" ht="33" customHeight="1">
      <c r="A49" s="7" t="inlineStr">
        <is>
          <t>Boomers Feline Friends</t>
        </is>
      </c>
      <c r="B49" s="7" t="inlineStr">
        <is>
          <t>solo rescuer / rescue+adoption</t>
        </is>
      </c>
      <c r="C49" s="7" t="inlineStr">
        <is>
          <t>South Brooklyn</t>
        </is>
      </c>
      <c r="D49" s="7" t="inlineStr">
        <is>
          <t>South BK (varies)</t>
        </is>
      </c>
      <c r="E49" s="7" t="inlineStr"/>
      <c r="F49" s="7" t="inlineStr"/>
      <c r="G49" s="7" t="inlineStr"/>
      <c r="H49" s="7" t="inlineStr">
        <is>
          <t>Via Instagram DM</t>
        </is>
      </c>
      <c r="I49" s="7" t="inlineStr">
        <is>
          <t>IG @boomers_feline_friends</t>
        </is>
      </c>
      <c r="J49" s="7" t="inlineStr">
        <is>
          <t>Hyper-local South Brooklyn rescue from North Brooklyn Cats' directory. Instagram-primary; confirm via IG.</t>
        </is>
      </c>
      <c r="K49" s="10" t="inlineStr">
        <is>
          <t>Low</t>
        </is>
      </c>
      <c r="L49" s="7" t="inlineStr">
        <is>
          <t>https://northbrooklyncats.org/resources/</t>
        </is>
      </c>
      <c r="M49" s="7" t="inlineStr">
        <is>
          <t>2026-08-26</t>
        </is>
      </c>
    </row>
    <row r="50" ht="48" customHeight="1">
      <c r="A50" s="7" t="inlineStr">
        <is>
          <t>Midwood Kitty Cats / Cats of Midwood</t>
        </is>
      </c>
      <c r="B50" s="7" t="inlineStr">
        <is>
          <t>solo rescuer / TNR</t>
        </is>
      </c>
      <c r="C50" s="7" t="inlineStr">
        <is>
          <t>Midwood</t>
        </is>
      </c>
      <c r="D50" s="7" t="inlineStr">
        <is>
          <t>11230</t>
        </is>
      </c>
      <c r="E50" s="7" t="inlineStr"/>
      <c r="F50" s="7" t="inlineStr"/>
      <c r="G50" s="7" t="inlineStr"/>
      <c r="H50" s="7" t="inlineStr">
        <is>
          <t>Via Instagram DM</t>
        </is>
      </c>
      <c r="I50" s="7" t="inlineStr">
        <is>
          <t>IG @midwood_kittycats</t>
        </is>
      </c>
      <c r="J50" s="7" t="inlineStr">
        <is>
          <t>Hyper-local Midwood group (Cats of Midwood Inc is a Best Friends network partner). Instagram-primary; confirm via IG.</t>
        </is>
      </c>
      <c r="K50" s="10" t="inlineStr">
        <is>
          <t>Low</t>
        </is>
      </c>
      <c r="L50" s="7" t="inlineStr">
        <is>
          <t>https://northbrooklyncats.org/resources/ ; https://bestfriends.org/partners/cats-midwood-inc</t>
        </is>
      </c>
      <c r="M50" s="7" t="inlineStr">
        <is>
          <t>2026-08-26</t>
        </is>
      </c>
    </row>
    <row r="51" ht="33" customHeight="1">
      <c r="A51" s="7" t="inlineStr">
        <is>
          <t>South Slope Cats</t>
        </is>
      </c>
      <c r="B51" s="7" t="inlineStr">
        <is>
          <t>solo rescuer / TNR</t>
        </is>
      </c>
      <c r="C51" s="7" t="inlineStr">
        <is>
          <t>South Slope / Greenwood / Sunset Park border</t>
        </is>
      </c>
      <c r="D51" s="7" t="inlineStr">
        <is>
          <t>11215, 11232</t>
        </is>
      </c>
      <c r="E51" s="7" t="inlineStr"/>
      <c r="F51" s="7" t="inlineStr"/>
      <c r="G51" s="7" t="inlineStr"/>
      <c r="H51" s="7" t="inlineStr">
        <is>
          <t>Via Instagram DM</t>
        </is>
      </c>
      <c r="I51" s="7" t="inlineStr">
        <is>
          <t>IG @southslopecats</t>
        </is>
      </c>
      <c r="J51" s="7" t="inlineStr">
        <is>
          <t>Hyper-local South Slope TNR/colony group. Instagram-primary; confirm via IG.</t>
        </is>
      </c>
      <c r="K51" s="10" t="inlineStr">
        <is>
          <t>Low</t>
        </is>
      </c>
      <c r="L51" s="7" t="inlineStr">
        <is>
          <t>https://northbrooklyncats.org/resources/</t>
        </is>
      </c>
      <c r="M51" s="7" t="inlineStr">
        <is>
          <t>2026-08-26</t>
        </is>
      </c>
    </row>
    <row r="52">
      <c r="A52" s="4" t="inlineStr">
        <is>
          <t>BROOKLYN-WIDE  (serve all of Kings County)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6" t="n"/>
    </row>
    <row r="53" ht="78" customHeight="1">
      <c r="A53" s="7" t="inlineStr">
        <is>
          <t>Brooklyn Animal Action (BAA)</t>
        </is>
      </c>
      <c r="B53" s="7" t="inlineStr">
        <is>
          <t>TNR / rescue+adoption / referral hub</t>
        </is>
      </c>
      <c r="C53" s="7" t="inlineStr">
        <is>
          <t>Brooklyn-wide (all of Kings County)</t>
        </is>
      </c>
      <c r="D53" s="7" t="inlineStr">
        <is>
          <t>All Brooklyn</t>
        </is>
      </c>
      <c r="E53" s="7" t="inlineStr"/>
      <c r="F53" s="7" t="inlineStr">
        <is>
          <t>info@brooklynanimalaction.org; adopt@brooklynanimalaction.org; volunteer@brooklynanimalaction.org</t>
        </is>
      </c>
      <c r="G53" s="7" t="inlineStr">
        <is>
          <t>https://brooklynanimalaction.org</t>
        </is>
      </c>
      <c r="H53" s="7" t="inlineStr">
        <is>
          <t>https://brooklynanimalaction.org/contact/ (contact form)</t>
        </is>
      </c>
      <c r="I53" s="7" t="inlineStr">
        <is>
          <t>IG @brooklynanimalaction</t>
        </is>
      </c>
      <c r="J53" s="7" t="inlineStr">
        <is>
          <t>All-volunteer 501(c)(3), founded 2010. TNR + adoption + rescuer support/education. No shelter; foster-based. Provides tools/advice so residents can help animals themselves. adopt@ confirmed on own adoptable-pets page. Re-verified 2026-08-26.</t>
        </is>
      </c>
      <c r="K53" s="8" t="inlineStr">
        <is>
          <t>High</t>
        </is>
      </c>
      <c r="L53" s="7" t="inlineStr">
        <is>
          <t>https://brooklynanimalaction.org/contact/</t>
        </is>
      </c>
      <c r="M53" s="7" t="inlineStr">
        <is>
          <t>2026-08-26</t>
        </is>
      </c>
    </row>
    <row r="54" ht="108" customHeight="1">
      <c r="A54" s="7" t="inlineStr">
        <is>
          <t>Brooklyn Bridge Animal Welfare Coalition (BBAWC) / Brooklyn Cat Cafe</t>
        </is>
      </c>
      <c r="B54" s="7" t="inlineStr">
        <is>
          <t>rescue+adoption / referral hub / spay-neuter clinic</t>
        </is>
      </c>
      <c r="C54" s="7" t="inlineStr">
        <is>
          <t>All of Brooklyn (Kings County) for vetting &amp; fostering support</t>
        </is>
      </c>
      <c r="D54" s="7" t="inlineStr">
        <is>
          <t>All Brooklyn</t>
        </is>
      </c>
      <c r="E54" s="7" t="inlineStr">
        <is>
          <t>(718) 360-9918</t>
        </is>
      </c>
      <c r="F54" s="7" t="inlineStr">
        <is>
          <t>BrooklynBridgeAnimals@yahoo.com</t>
        </is>
      </c>
      <c r="G54" s="7" t="inlineStr">
        <is>
          <t>https://bbawc.org</t>
        </is>
      </c>
      <c r="H54" s="7" t="inlineStr">
        <is>
          <t>https://www.bbawc.org/bbawc_location/email-bbawc/ (contact form)</t>
        </is>
      </c>
      <c r="I54" s="7" t="inlineStr">
        <is>
          <t>Brooklyn Cat Cafe: (347) 946-2286, 76 Montague St; catcafebk.com</t>
        </is>
      </c>
      <c r="J54" s="7" t="inlineStr">
        <is>
          <t>501(c)(3) coalition of rescuers (EIN 26-1482964), founded 2007, 8,000+ cats rescued. Not a traditional shelter. Serves all Kings County for vetting/fostering; does NOT run TNR projects itself (refers to Neighborhood Cats/FCI) but runs the BBAWC Rescue Clinic (spay/neuter) inside the Brooklyn Cat Cafe. PO Box 22948, Brooklyn 11202. Re-verified 2026-08-26.</t>
        </is>
      </c>
      <c r="K54" s="8" t="inlineStr">
        <is>
          <t>High</t>
        </is>
      </c>
      <c r="L54" s="7" t="inlineStr">
        <is>
          <t>https://www.bbawc.org/bbawc_location/</t>
        </is>
      </c>
      <c r="M54" s="7" t="inlineStr">
        <is>
          <t>2026-08-26</t>
        </is>
      </c>
    </row>
    <row r="55" ht="123" customHeight="1">
      <c r="A55" s="7" t="inlineStr">
        <is>
          <t>MeowSquad NYC</t>
        </is>
      </c>
      <c r="B55" s="7" t="inlineStr">
        <is>
          <t>TNR / rescue+adoption</t>
        </is>
      </c>
      <c r="C55" s="7" t="inlineStr">
        <is>
          <t>Brooklyn and Queens (foster-based; volunteers tri-state)</t>
        </is>
      </c>
      <c r="D55" s="7" t="inlineStr">
        <is>
          <t>Brooklyn + Queens</t>
        </is>
      </c>
      <c r="E55" s="7" t="inlineStr"/>
      <c r="F55" s="7" t="inlineStr">
        <is>
          <t>info@meowsquadnyc.org; adoptions@meowsquadnyc.org; meowsquad.nyc@gmail.com</t>
        </is>
      </c>
      <c r="G55" s="7" t="inlineStr">
        <is>
          <t>https://www.meowsquadnyc.org</t>
        </is>
      </c>
      <c r="H55" s="7" t="inlineStr">
        <is>
          <t>Linktree https://linktr.ee/Meowsquadnyc</t>
        </is>
      </c>
      <c r="I55" s="7" t="inlineStr">
        <is>
          <t>IG @meowsquad.nyc; FB /MeowSquadNYC; base Howard Beach, Queens 11414</t>
        </is>
      </c>
      <c r="J55" s="7" t="inlineStr">
        <is>
          <t>Women-run 501(c)(3) (EIN 84-2533806), founded 2019, foster-based. TNR + fostering across Brooklyn &amp; Queens; also relocates un-returnable cats to working/barn homes. STATUS FLAG (re-verified 2026-08-26): own site says NOT taking new TNR requests right now - 'at max capacity,' expanding facilities. Kept in - adoption/foster/surrender/working-cat forms still open, and TNR may reopen. Base is in Queens (Howard Beach).</t>
        </is>
      </c>
      <c r="K55" s="8" t="inlineStr">
        <is>
          <t>High</t>
        </is>
      </c>
      <c r="L55" s="7" t="inlineStr">
        <is>
          <t>https://www.meowsquadnyc.org/adoptions</t>
        </is>
      </c>
      <c r="M55" s="7" t="inlineStr">
        <is>
          <t>2026-08-26</t>
        </is>
      </c>
    </row>
    <row r="56" ht="48" customHeight="1">
      <c r="A56" s="7" t="inlineStr">
        <is>
          <t>Brooklyn Lost Cat Finder</t>
        </is>
      </c>
      <c r="B56" s="7" t="inlineStr">
        <is>
          <t>referral hub / lost-cat support</t>
        </is>
      </c>
      <c r="C56" s="7" t="inlineStr">
        <is>
          <t>Brooklyn-wide (lost/found cats)</t>
        </is>
      </c>
      <c r="D56" s="7" t="inlineStr">
        <is>
          <t>All Brooklyn</t>
        </is>
      </c>
      <c r="E56" s="7" t="inlineStr"/>
      <c r="F56" s="7" t="inlineStr"/>
      <c r="G56" s="7" t="inlineStr"/>
      <c r="H56" s="7" t="inlineStr">
        <is>
          <t>Via Instagram DM</t>
        </is>
      </c>
      <c r="I56" s="7" t="inlineStr">
        <is>
          <t>IG @brooklynlostcatfinder</t>
        </is>
      </c>
      <c r="J56" s="7" t="inlineStr">
        <is>
          <t>Not a rescue - a Brooklyn-wide lost/found cat networking resource. Useful to route people whose cat is missing rather than a street/colony case.</t>
        </is>
      </c>
      <c r="K56" s="10" t="inlineStr">
        <is>
          <t>Low</t>
        </is>
      </c>
      <c r="L56" s="7" t="inlineStr">
        <is>
          <t>https://northbrooklyncats.org/resources/</t>
        </is>
      </c>
      <c r="M56" s="7" t="inlineStr">
        <is>
          <t>2026-08-26</t>
        </is>
      </c>
    </row>
    <row r="57" ht="48" customHeight="1">
      <c r="A57" s="7" t="inlineStr">
        <is>
          <t>Brooklyn Waterfront Cats</t>
        </is>
      </c>
      <c r="B57" s="7" t="inlineStr">
        <is>
          <t>solo rescuer / TNR / colony care</t>
        </is>
      </c>
      <c r="C57" s="7" t="inlineStr">
        <is>
          <t>Brooklyn waterfront (Red Hook / DUMBO / industrial areas)</t>
        </is>
      </c>
      <c r="D57" s="7" t="inlineStr">
        <is>
          <t>11201, 11231</t>
        </is>
      </c>
      <c r="E57" s="7" t="inlineStr"/>
      <c r="F57" s="7" t="inlineStr"/>
      <c r="G57" s="7" t="inlineStr"/>
      <c r="H57" s="7" t="inlineStr">
        <is>
          <t>Via Instagram DM</t>
        </is>
      </c>
      <c r="I57" s="7" t="inlineStr">
        <is>
          <t>IG @bkwaterfrontcats</t>
        </is>
      </c>
      <c r="J57" s="7" t="inlineStr">
        <is>
          <t>Hyper-local waterfront colony/TNR group. Instagram-primary; confirm via IG. Useful for Red Hook / industrial-zone cases often missed by neighborhood groups.</t>
        </is>
      </c>
      <c r="K57" s="10" t="inlineStr">
        <is>
          <t>Low</t>
        </is>
      </c>
      <c r="L57" s="7" t="inlineStr">
        <is>
          <t>https://northbrooklyncats.org/resources/</t>
        </is>
      </c>
      <c r="M57" s="7" t="inlineStr">
        <is>
          <t>2026-08-26</t>
        </is>
      </c>
    </row>
    <row r="58">
      <c r="A58" s="4" t="inlineStr">
        <is>
          <t>CITYWIDE BACKBONE &amp; MULTI-BOROUGH  (take Brooklyn cases)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6" t="n"/>
    </row>
    <row r="59" ht="93" customHeight="1">
      <c r="A59" s="7" t="inlineStr">
        <is>
          <t>ACC Working Cats Program</t>
        </is>
      </c>
      <c r="B59" s="7" t="inlineStr">
        <is>
          <t>working-cat placement (municipal, citywide)</t>
        </is>
      </c>
      <c r="C59" s="7" t="inlineStr">
        <is>
          <t>All 5 boroughs - official ACC program placing feral shelter cats as working cats</t>
        </is>
      </c>
      <c r="D59" s="7" t="inlineStr">
        <is>
          <t>Citywide</t>
        </is>
      </c>
      <c r="E59" s="7" t="inlineStr">
        <is>
          <t>(212) 788-4000</t>
        </is>
      </c>
      <c r="F59" s="7" t="inlineStr">
        <is>
          <t>workingcats@nycacc.org</t>
        </is>
      </c>
      <c r="G59" s="7" t="inlineStr">
        <is>
          <t>https://www.nycacc.org/workingcats</t>
        </is>
      </c>
      <c r="H59" s="7" t="inlineStr">
        <is>
          <t>Apply to adopt working cats at nycacc.org/workingcats; ACC identifies suitable ferals + can loan traps</t>
        </is>
      </c>
      <c r="I59" s="7" t="inlineStr">
        <is>
          <t>Pairs of bonded cats placed together (an 'only cat' becomes a 'lonely cat')</t>
        </is>
      </c>
      <c r="J59" s="7" t="inlineStr">
        <is>
          <t>NYCACC's official Working Cats program: places feral/under-socialized shelter cats (not adoption-suited) as working cats for barns, businesses, gardens, buildings. Placed in bonded pairs; caretaker provides food/water/shelter + can trap for vet care (ACC loans traps). The municipal route for working cats. Verified 2026-08-26.</t>
        </is>
      </c>
      <c r="K59" s="8" t="inlineStr">
        <is>
          <t>High</t>
        </is>
      </c>
      <c r="L59" s="7" t="inlineStr">
        <is>
          <t>https://www.nycacc.org/workingcats/</t>
        </is>
      </c>
      <c r="M59" s="7" t="inlineStr">
        <is>
          <t>2026-08-26</t>
        </is>
      </c>
    </row>
    <row r="60" ht="108" customHeight="1">
      <c r="A60" s="7" t="inlineStr">
        <is>
          <t>Hard Hat Cats</t>
        </is>
      </c>
      <c r="B60" s="7" t="inlineStr">
        <is>
          <t>working-cat placement (citywide)</t>
        </is>
      </c>
      <c r="C60" s="7" t="inlineStr">
        <is>
          <t>All 5 boroughs - places un-adoptable feral cats as working cats at businesses</t>
        </is>
      </c>
      <c r="D60" s="7" t="inlineStr">
        <is>
          <t>Citywide</t>
        </is>
      </c>
      <c r="E60" s="7" t="inlineStr"/>
      <c r="F60" s="7" t="inlineStr">
        <is>
          <t>hardhatcats@gmail.com</t>
        </is>
      </c>
      <c r="G60" s="7" t="inlineStr">
        <is>
          <t>https://www.hardhatcats.org</t>
        </is>
      </c>
      <c r="H60" s="7" t="inlineStr">
        <is>
          <t>Businesses/sites apply via site or email; founder does a site visit before placement</t>
        </is>
      </c>
      <c r="I60" s="7" t="inlineStr">
        <is>
          <t>IG @hardhatcats; founder/president Sheila Massey</t>
        </is>
      </c>
      <c r="J60" s="7" t="inlineStr">
        <is>
          <t>Nonprofit (since ~2018, TNR roots 2008) placing feral/unadoptable cats from ACC + hoarding/colony situations as WORKING CATS (breweries, distilleries, warehouses, community gardens, apartment buildings) for non-toxic rodent deterrence. Cat is free; employer provides food/water/humane shelter. Has placed inside the Brooklyn Navy Yard (Kings County Distillery). Verified 2026-08-26.</t>
        </is>
      </c>
      <c r="K60" s="8" t="inlineStr">
        <is>
          <t>High</t>
        </is>
      </c>
      <c r="L60" s="7" t="inlineStr">
        <is>
          <t>https://www.hardhatcats.org/ ; https://www.marketplace.org/story/2023/07/04/these-feral-cats-have-jobs</t>
        </is>
      </c>
      <c r="M60" s="7" t="inlineStr">
        <is>
          <t>2026-08-26</t>
        </is>
      </c>
    </row>
    <row r="61" ht="108" customHeight="1">
      <c r="A61" s="7" t="inlineStr">
        <is>
          <t>NYC Feral Cat Initiative (FCI) - Bideawee</t>
        </is>
      </c>
      <c r="B61" s="7" t="inlineStr">
        <is>
          <t>referral hub / TNR support (citywide backbone)</t>
        </is>
      </c>
      <c r="C61" s="7" t="inlineStr">
        <is>
          <t>All NYC (5 boroughs) + Long Island</t>
        </is>
      </c>
      <c r="D61" s="7" t="inlineStr">
        <is>
          <t>Citywide</t>
        </is>
      </c>
      <c r="E61" s="7" t="inlineStr">
        <is>
          <t>(212) 330-0033</t>
        </is>
      </c>
      <c r="F61" s="7" t="inlineStr">
        <is>
          <t>nycferalcatinitiative@bideawee.org</t>
        </is>
      </c>
      <c r="G61" s="7" t="inlineStr">
        <is>
          <t>https://www.bideawee.org/programs/feral-cat-initiative/</t>
        </is>
      </c>
      <c r="H61" s="7" t="inlineStr">
        <is>
          <t>FCI Help Desk: https://nycfci.happyfox.com/new (7-day helpdesk for certified caretakers)</t>
        </is>
      </c>
      <c r="I61" s="7" t="inlineStr">
        <is>
          <t>IG @nycfci; 244 Fifth Ave, Suite R290, NY 10001</t>
        </is>
      </c>
      <c r="J61" s="7" t="inlineStr">
        <is>
          <t>Citywide TNR backbone. Free certification, free spay/neuter, free trap loans, transport, help desk for Certified TNR Caretakers. Training/support infrastructure, not hands-on rescue. Register colonies here + Cat Stats. Re-verified 2026-08-26: 7-day help desk (nycfci.happyfox.com/new), (212) 330-0033, and email all confirmed current on Bideawee's own site.</t>
        </is>
      </c>
      <c r="K61" s="8" t="inlineStr">
        <is>
          <t>High</t>
        </is>
      </c>
      <c r="L61" s="7" t="inlineStr">
        <is>
          <t>https://www.bideawee.org/programs/feral-cat-initiative/</t>
        </is>
      </c>
      <c r="M61" s="7" t="inlineStr">
        <is>
          <t>2026-08-26</t>
        </is>
      </c>
    </row>
    <row r="62" ht="78" customHeight="1">
      <c r="A62" s="7" t="inlineStr">
        <is>
          <t>Neighborhood Cats</t>
        </is>
      </c>
      <c r="B62" s="7" t="inlineStr">
        <is>
          <t>referral hub / TNR support (citywide backbone)</t>
        </is>
      </c>
      <c r="C62" s="7" t="inlineStr">
        <is>
          <t>All NYC (5 boroughs)</t>
        </is>
      </c>
      <c r="D62" s="7" t="inlineStr">
        <is>
          <t>Citywide</t>
        </is>
      </c>
      <c r="E62" s="7" t="inlineStr">
        <is>
          <t>(212) 662-5761</t>
        </is>
      </c>
      <c r="F62" s="7" t="inlineStr">
        <is>
          <t>help@neighborhoodcats.org (certified caretakers); headcat@neighborhoodcats.org (general)</t>
        </is>
      </c>
      <c r="G62" s="7" t="inlineStr">
        <is>
          <t>https://www.neighborhoodcats.org</t>
        </is>
      </c>
      <c r="H62" s="7" t="inlineStr">
        <is>
          <t>Workshops: https://www.neighborhoodcats.org/tnr-in-nyc/workshops ; Cat Stats: https://www.catstats.org/nyc</t>
        </is>
      </c>
      <c r="I62" s="7" t="inlineStr">
        <is>
          <t>TNR in NYC groups.io network; 244 Fifth Ave, Suite 222, NY 10001</t>
        </is>
      </c>
      <c r="J62" s="7" t="inlineStr">
        <is>
          <t>Founded the NYC TNR community; primary mentor org. Certification, SNAP spay/neuter funding (jackie@neighborhoodcats.org), colony registry, expert help line for certified NYC caretakers. Re-verified 2026-08-26: help@ + headcat@ emails and (212) 662-5761 confirmed on own site.</t>
        </is>
      </c>
      <c r="K62" s="8" t="inlineStr">
        <is>
          <t>High</t>
        </is>
      </c>
      <c r="L62" s="7" t="inlineStr">
        <is>
          <t>https://www.neighborhoodcats.org/tnr-in-nyc</t>
        </is>
      </c>
      <c r="M62" s="7" t="inlineStr">
        <is>
          <t>2026-08-26</t>
        </is>
      </c>
    </row>
    <row r="63" ht="78" customHeight="1">
      <c r="A63" s="7" t="inlineStr">
        <is>
          <t>Paul the Cat Guy, Inc.</t>
        </is>
      </c>
      <c r="B63" s="7" t="inlineStr">
        <is>
          <t>TNR / rescue+adoption (multi-borough)</t>
        </is>
      </c>
      <c r="C63" s="7" t="inlineStr">
        <is>
          <t>NYC citywide (based Astoria, Queens); responds to cases across boroughs incl. Brooklyn</t>
        </is>
      </c>
      <c r="D63" s="7" t="inlineStr">
        <is>
          <t>Citywide (Queens-based)</t>
        </is>
      </c>
      <c r="E63" s="7" t="inlineStr"/>
      <c r="F63" s="7" t="inlineStr">
        <is>
          <t>paul@paulthecatguy.com</t>
        </is>
      </c>
      <c r="G63" s="7" t="inlineStr">
        <is>
          <t>https://www.paulthecatguy.com</t>
        </is>
      </c>
      <c r="H63" s="7" t="inlineStr">
        <is>
          <t>Adoption via Petfinder; contact via email / site</t>
        </is>
      </c>
      <c r="I63" s="7" t="inlineStr">
        <is>
          <t>IG @paulthecatguy; large social following</t>
        </is>
      </c>
      <c r="J63" s="7" t="inlineStr">
        <is>
          <t>All-volunteer 501(c)(3) (EIN 81-4379122), founded 2014. TNR + kitten/adult rescue + pulls from kill shelters. NOT a shelter; foster-based. 2000+ cats helped, 500+ in 2024. Queens-based - confirm Brooklyn capacity, but responds citywide. Verified one-by-one 2026-08-26.</t>
        </is>
      </c>
      <c r="K63" s="8" t="inlineStr">
        <is>
          <t>High</t>
        </is>
      </c>
      <c r="L63" s="7" t="inlineStr">
        <is>
          <t>https://www.paulthecatguy.com/ ; https://www.guidestar.org/profile/81-4379122</t>
        </is>
      </c>
      <c r="M63" s="7" t="inlineStr">
        <is>
          <t>2026-08-26</t>
        </is>
      </c>
    </row>
    <row r="64" ht="48" customHeight="1">
      <c r="A64" s="7" t="inlineStr">
        <is>
          <t>Puppy Kitty NYC (PKNYC)</t>
        </is>
      </c>
      <c r="B64" s="7" t="inlineStr">
        <is>
          <t>rescue+adoption / TNR (multi-borough)</t>
        </is>
      </c>
      <c r="C64" s="7" t="inlineStr">
        <is>
          <t>All 5 boroughs (foster homes citywide); base Middle Village, Queens</t>
        </is>
      </c>
      <c r="D64" s="7" t="inlineStr">
        <is>
          <t>Citywide</t>
        </is>
      </c>
      <c r="E64" s="7" t="inlineStr"/>
      <c r="F64" s="7" t="inlineStr">
        <is>
          <t>info@puppykittynyc.org; volunteers@puppykittynyc.com</t>
        </is>
      </c>
      <c r="G64" s="7" t="inlineStr">
        <is>
          <t>https://www.puppykittynyc.org</t>
        </is>
      </c>
      <c r="H64" s="7" t="inlineStr">
        <is>
          <t>https://www.puppykittynyc.org/contact-us.html</t>
        </is>
      </c>
      <c r="I64" s="7" t="inlineStr">
        <is>
          <t>IG @puppykittynycity; FB /puppykittynycity</t>
        </is>
      </c>
      <c r="J64" s="7" t="inlineStr">
        <is>
          <t>All-volunteer 501(c)(3), founded 2014. Takes critically sick/injured street cats others turn away; TNR a primary focus. Small shelter + foster network. High volume.</t>
        </is>
      </c>
      <c r="K64" s="8" t="inlineStr">
        <is>
          <t>High</t>
        </is>
      </c>
      <c r="L64" s="7" t="inlineStr">
        <is>
          <t>https://www.puppykittynyc.org/</t>
        </is>
      </c>
      <c r="M64" s="7" t="inlineStr">
        <is>
          <t>2026-08-26</t>
        </is>
      </c>
    </row>
    <row r="65" ht="78" customHeight="1">
      <c r="A65" s="7" t="inlineStr">
        <is>
          <t>For Animals Inc.</t>
        </is>
      </c>
      <c r="B65" s="7" t="inlineStr">
        <is>
          <t>TNR / spay-neuter / rescue+adoption (citywide)</t>
        </is>
      </c>
      <c r="C65" s="7" t="inlineStr">
        <is>
          <t>NYC all five boroughs (incl. Brooklyn colonies)</t>
        </is>
      </c>
      <c r="D65" s="7" t="inlineStr">
        <is>
          <t>Citywide</t>
        </is>
      </c>
      <c r="E65" s="7" t="inlineStr"/>
      <c r="F65" s="7" t="inlineStr"/>
      <c r="G65" s="7" t="inlineStr">
        <is>
          <t>https://www.foranimalsinc.com</t>
        </is>
      </c>
      <c r="H65" s="7" t="inlineStr">
        <is>
          <t>Contact + adoption/TNR request via site</t>
        </is>
      </c>
      <c r="I65" s="7" t="inlineStr">
        <is>
          <t>IG @foranimalsinc</t>
        </is>
      </c>
      <c r="J65" s="7" t="inlineStr">
        <is>
          <t>501(c)(3) since 2001 (EIN 26-2321902). High-volume spay/neuter + coordinated TNR across all five boroughs + adoption + community education/transport for low-income owners. Citywide support that does take Brooklyn colony projects. Verified 2026-08-26.</t>
        </is>
      </c>
      <c r="K65" s="9" t="inlineStr">
        <is>
          <t>Medium</t>
        </is>
      </c>
      <c r="L65" s="7" t="inlineStr">
        <is>
          <t>https://www.foranimalsinc.com/about/ ; https://www.guidestar.org/profile/26-2321902</t>
        </is>
      </c>
      <c r="M65" s="7" t="inlineStr">
        <is>
          <t>2026-08-26</t>
        </is>
      </c>
    </row>
    <row r="66" ht="93" customHeight="1">
      <c r="A66" s="7" t="inlineStr">
        <is>
          <t>Give Me Shelter Project, Inc.</t>
        </is>
      </c>
      <c r="B66" s="7" t="inlineStr">
        <is>
          <t>rescue+adoption / TNR education (Queens/LI-primary)</t>
        </is>
      </c>
      <c r="C66" s="7" t="inlineStr">
        <is>
          <t>Queens/Nassau field footprint; TNR education + advocacy citywide</t>
        </is>
      </c>
      <c r="D66" s="7" t="inlineStr">
        <is>
          <t>Citywide edu (Queens/LI field)</t>
        </is>
      </c>
      <c r="E66" s="7" t="inlineStr">
        <is>
          <t>917-410-5900</t>
        </is>
      </c>
      <c r="F66" s="7" t="inlineStr">
        <is>
          <t>givemeshelterproject@gmail.com</t>
        </is>
      </c>
      <c r="G66" s="7" t="inlineStr">
        <is>
          <t>https://givemeshelterproject.org</t>
        </is>
      </c>
      <c r="H66" s="7" t="inlineStr">
        <is>
          <t>Adoption via site; cats viewable at PetSmart 1600 Marcus Ave, New Hyde Park 11040</t>
        </is>
      </c>
      <c r="I66" s="7" t="inlineStr">
        <is>
          <t>248-25 Northern Blvd Suite 1J-355, Little Neck NY 11362</t>
        </is>
      </c>
      <c r="J66" s="7" t="inlineStr">
        <is>
          <t>501(c)(3) rescue/education/advocacy, foster-based, ©2026 active. NICHE: 'supposedly unadoptable' cats (Conner's Cause) + pet emergency-directive education + TNR workshops. Field footprint is Queens/Nassau, not Brooklyn - listed as education/advocacy support. Phone + email confirmed on own site. Verified 2026-08-26.</t>
        </is>
      </c>
      <c r="K66" s="9" t="inlineStr">
        <is>
          <t>Medium</t>
        </is>
      </c>
      <c r="L66" s="7" t="inlineStr">
        <is>
          <t>https://givemeshelterproject.org/contact-us/</t>
        </is>
      </c>
      <c r="M66" s="7" t="inlineStr">
        <is>
          <t>2026-08-26</t>
        </is>
      </c>
    </row>
    <row r="67" ht="123" customHeight="1">
      <c r="A67" s="7" t="inlineStr">
        <is>
          <t>Itty Bitty City Kitties</t>
        </is>
      </c>
      <c r="B67" s="7" t="inlineStr">
        <is>
          <t>neonatal kitten nursery / rescue+adoption / TNR support</t>
        </is>
      </c>
      <c r="C67" s="7" t="inlineStr">
        <is>
          <t>Rockaway Beach, Queens facility; specialist neonatal resource used citywide</t>
        </is>
      </c>
      <c r="D67" s="7" t="inlineStr">
        <is>
          <t>Queens facility (citywide function)</t>
        </is>
      </c>
      <c r="E67" s="7" t="inlineStr"/>
      <c r="F67" s="7" t="inlineStr">
        <is>
          <t>ittybittycitykitties@gmail.com</t>
        </is>
      </c>
      <c r="G67" s="7" t="inlineStr">
        <is>
          <t>https://www.ittybittycitykitties.org</t>
        </is>
      </c>
      <c r="H67" s="7" t="inlineStr">
        <is>
          <t>Adoption application on site; contact via email/Venmo @ittykitties</t>
        </is>
      </c>
      <c r="I67" s="7" t="inlineStr">
        <is>
          <t>IG @ittybittycitykitties; state-of-the-art nursery suites</t>
        </is>
      </c>
      <c r="J67" s="7" t="inlineStr">
        <is>
          <t>100%-volunteer 501(c)(3) (EIN 85-4284614). SPECIALIST: neonatal/orphaned bottle-baby kittens + mom-and-litter care, with a dedicated nursery facility (rare + high-value). Also TNR support + low-cost vet access. Queens-based but the go-to resource when a Brooklyn rescuer pulls kittens too young to survive in foster. Confirm current intake capacity (kitten-season dependent). Verified 2026-08-26.</t>
        </is>
      </c>
      <c r="K67" s="9" t="inlineStr">
        <is>
          <t>Medium</t>
        </is>
      </c>
      <c r="L67" s="7" t="inlineStr">
        <is>
          <t>https://www.ittybittycitykitties.org/ ; https://www.guidestar.org/profile/85-4284614</t>
        </is>
      </c>
      <c r="M67" s="7" t="inlineStr">
        <is>
          <t>2026-08-26</t>
        </is>
      </c>
    </row>
    <row r="68" ht="78" customHeight="1">
      <c r="A68" s="7" t="inlineStr">
        <is>
          <t>NY Cat Warriors (NYCW)</t>
        </is>
      </c>
      <c r="B68" s="7" t="inlineStr">
        <is>
          <t>rescue+adoption / TNR (multi-borough, medical focus)</t>
        </is>
      </c>
      <c r="C68" s="7" t="inlineStr">
        <is>
          <t>All 5 boroughs; MOST activity in Queens, Brooklyn &amp; the Bronx</t>
        </is>
      </c>
      <c r="D68" s="7" t="inlineStr">
        <is>
          <t>Citywide (Brooklyn core)</t>
        </is>
      </c>
      <c r="E68" s="7" t="inlineStr"/>
      <c r="F68" s="7" t="inlineStr"/>
      <c r="G68" s="7" t="inlineStr">
        <is>
          <t>https://nycatwarriors.org</t>
        </is>
      </c>
      <c r="H68" s="7" t="inlineStr">
        <is>
          <t>Contact / adoption via site</t>
        </is>
      </c>
      <c r="I68" s="7" t="inlineStr">
        <is>
          <t>IG @nycatwarriors; NYS-licensed rescue</t>
        </is>
      </c>
      <c r="J68" s="7" t="inlineStr">
        <is>
          <t>All-volunteer 501(c)(3), ACC New Hope partner. Specializes in URGENT/COMPLEX MEDICAL cases + TNR. Own site states Brooklyn is a core service area (not just nominal citywide). Good route for a sick/injured street cat. Contact via site. Verified 2026-08-26.</t>
        </is>
      </c>
      <c r="K68" s="9" t="inlineStr">
        <is>
          <t>Medium</t>
        </is>
      </c>
      <c r="L68" s="7" t="inlineStr">
        <is>
          <t>https://nycatwarriors.org/</t>
        </is>
      </c>
      <c r="M68" s="7" t="inlineStr">
        <is>
          <t>2026-08-26</t>
        </is>
      </c>
    </row>
    <row r="69" ht="78" customHeight="1">
      <c r="A69" s="7" t="inlineStr">
        <is>
          <t>RescueNYC (Community Cat Program)</t>
        </is>
      </c>
      <c r="B69" s="7" t="inlineStr">
        <is>
          <t>TNR support / recovery holding (citywide)</t>
        </is>
      </c>
      <c r="C69" s="7" t="inlineStr">
        <is>
          <t>NYC citywide; TNR recovery/holding space + caretaker guidance</t>
        </is>
      </c>
      <c r="D69" s="7" t="inlineStr">
        <is>
          <t>Citywide</t>
        </is>
      </c>
      <c r="E69" s="7" t="inlineStr"/>
      <c r="F69" s="7" t="inlineStr">
        <is>
          <t>Info@rescuenyc.org</t>
        </is>
      </c>
      <c r="G69" s="7" t="inlineStr">
        <is>
          <t>http://www.rescuenyc.org</t>
        </is>
      </c>
      <c r="H69" s="7" t="inlineStr">
        <is>
          <t>Email Info@rescuenyc.org for community-cat guidance / TNR recovery program</t>
        </is>
      </c>
      <c r="I69" s="7" t="inlineStr"/>
      <c r="J69" s="7" t="inlineStr">
        <is>
          <t>Community Cat Program provides pre/post spay-neuter holding, minor-medical holding, and support for caretakers doing large-scale TNR (removes the holding-space barrier). Support resource for caretakers, incl. Brooklyn. Email confirmed on own site. Verified 2026-08-26.</t>
        </is>
      </c>
      <c r="K69" s="9" t="inlineStr">
        <is>
          <t>Medium</t>
        </is>
      </c>
      <c r="L69" s="7" t="inlineStr">
        <is>
          <t>http://www.rescuenyc.org/</t>
        </is>
      </c>
      <c r="M69" s="7" t="inlineStr">
        <is>
          <t>2026-08-26</t>
        </is>
      </c>
    </row>
    <row r="70" ht="93" customHeight="1">
      <c r="A70" s="7" t="inlineStr">
        <is>
          <t>SaveKitty Foundation</t>
        </is>
      </c>
      <c r="B70" s="7" t="inlineStr">
        <is>
          <t>TNR / rescue+adoption (multi-borough)</t>
        </is>
      </c>
      <c r="C70" s="7" t="inlineStr">
        <is>
          <t>Queens-primary; explicitly works 'other NYC neighborhoods' too</t>
        </is>
      </c>
      <c r="D70" s="7" t="inlineStr">
        <is>
          <t>Citywide (Queens-primary)</t>
        </is>
      </c>
      <c r="E70" s="7" t="inlineStr"/>
      <c r="F70" s="7" t="inlineStr">
        <is>
          <t>petbereavement@savekitty.org (pet-loss support); contact via site</t>
        </is>
      </c>
      <c r="G70" s="7" t="inlineStr">
        <is>
          <t>https://savekitty.org</t>
        </is>
      </c>
      <c r="H70" s="7" t="inlineStr">
        <is>
          <t>Online adoption application on site</t>
        </is>
      </c>
      <c r="I70" s="7" t="inlineStr">
        <is>
          <t>P.O. Box 260096; on NYC DOHMH official TNR list</t>
        </is>
      </c>
      <c r="J70" s="7" t="inlineStr">
        <is>
          <t>No-kill all-volunteer 501(c)(3) (EIN 76-0791179), TNR-primary (500-800 cats/yr) + friendly rescue/adoption. Queens-based but states it works across NYC neighborhoods. Also runs free pet-loss bereavement support groups (licensed facilitator). Site last dated 2019 - confirm current activity. Verified 2026-08-26.</t>
        </is>
      </c>
      <c r="K70" s="9" t="inlineStr">
        <is>
          <t>Medium</t>
        </is>
      </c>
      <c r="L70" s="7" t="inlineStr">
        <is>
          <t>https://savekitty.org/ ; https://www.guidestar.org/profile/76-0791179</t>
        </is>
      </c>
      <c r="M70" s="7" t="inlineStr">
        <is>
          <t>2026-08-26</t>
        </is>
      </c>
    </row>
    <row r="71" ht="63" customHeight="1">
      <c r="A71" s="7" t="inlineStr">
        <is>
          <t>The Toby Project (Brooklyn feral coordinator)</t>
        </is>
      </c>
      <c r="B71" s="7" t="inlineStr">
        <is>
          <t>spay-neuter clinic / TNR support (multi-borough)</t>
        </is>
      </c>
      <c r="C71" s="7" t="inlineStr">
        <is>
          <t>All 5 boroughs (free community-cat spay/neuter); Brooklyn TNR coordinator</t>
        </is>
      </c>
      <c r="D71" s="7" t="inlineStr">
        <is>
          <t>Citywide</t>
        </is>
      </c>
      <c r="E71" s="7" t="inlineStr">
        <is>
          <t>(347) 816-2899 (scheduling, Tue-Sat 1-7pm)</t>
        </is>
      </c>
      <c r="F71" s="7" t="inlineStr">
        <is>
          <t>Tobyprojectnyc@gmail.com (appts); petden19@verizon.net (Brooklyn/SI/Manhattan feral coordinator)</t>
        </is>
      </c>
      <c r="G71" s="7" t="inlineStr">
        <is>
          <t>https://tobyproject.org</t>
        </is>
      </c>
      <c r="H71" s="7" t="inlineStr">
        <is>
          <t>Call or email to schedule mobile spay/neuter</t>
        </is>
      </c>
      <c r="I71" s="7" t="inlineStr"/>
      <c r="J71" s="7" t="inlineStr">
        <is>
          <t>Free spay/neuter + eartip for community cats in all five boroughs (surgery free; donations requested). Contact the Brooklyn coordinator for BK colony projects. Verify current schedule.</t>
        </is>
      </c>
      <c r="K71" s="9" t="inlineStr">
        <is>
          <t>Medium</t>
        </is>
      </c>
      <c r="L71" s="7" t="inlineStr">
        <is>
          <t>https://www.humaneurbangroup.org/tnr-resources ; https://www.aspcapro.org/sites/default/files/Local%20NYC%20resources-online%2011-14.pdf</t>
        </is>
      </c>
      <c r="M71" s="7" t="inlineStr">
        <is>
          <t>2026-08-26</t>
        </is>
      </c>
    </row>
    <row r="72" ht="93" customHeight="1">
      <c r="A72" s="7" t="inlineStr">
        <is>
          <t>Urban Cat League</t>
        </is>
      </c>
      <c r="B72" s="7" t="inlineStr">
        <is>
          <t>TNR support / education / working-cat placement (citywide)</t>
        </is>
      </c>
      <c r="C72" s="7" t="inlineStr">
        <is>
          <t>NYC citywide (Manhattan-origin); education &amp; TNR support, not a Brooklyn field-response group</t>
        </is>
      </c>
      <c r="D72" s="7" t="inlineStr">
        <is>
          <t>Citywide</t>
        </is>
      </c>
      <c r="E72" s="7" t="inlineStr"/>
      <c r="F72" s="7" t="inlineStr"/>
      <c r="G72" s="7" t="inlineStr">
        <is>
          <t>https://urbancatleague.org</t>
        </is>
      </c>
      <c r="H72" s="7" t="inlineStr">
        <is>
          <t>Contact form: https://urbancatleague.org/contact-us/</t>
        </is>
      </c>
      <c r="I72" s="7" t="inlineStr">
        <is>
          <t>YouTube (taming/socialization how-tos); IG @urbancatleague</t>
        </is>
      </c>
      <c r="J72" s="7" t="inlineStr">
        <is>
          <t>501(c)(3) (EIN 91-2185105). Focus: community-cat education (taming feral kittens, bottle-feeding, winter shelters), TNR certification support, and working-cat placement for un-adoptable cats. More a support/education resource than hands-on Brooklyn trapping. Contact via form. Verified 2026-08-26.</t>
        </is>
      </c>
      <c r="K72" s="9" t="inlineStr">
        <is>
          <t>Medium</t>
        </is>
      </c>
      <c r="L72" s="7" t="inlineStr">
        <is>
          <t>https://urbancatleague.org/contact-us/ ; https://www.guidestar.org/profile/91-2185105</t>
        </is>
      </c>
      <c r="M72" s="7" t="inlineStr">
        <is>
          <t>2026-08-26</t>
        </is>
      </c>
    </row>
    <row r="73" ht="63" customHeight="1">
      <c r="A73" s="7" t="inlineStr">
        <is>
          <t>Magnificat Cat Rescue and Rehoming</t>
        </is>
      </c>
      <c r="B73" s="7" t="inlineStr">
        <is>
          <t>rescue+adoption / TNR (multi-borough)</t>
        </is>
      </c>
      <c r="C73" s="7" t="inlineStr">
        <is>
          <t>All 5 boroughs (NYC-area foster network)</t>
        </is>
      </c>
      <c r="D73" s="7" t="inlineStr">
        <is>
          <t>Citywide</t>
        </is>
      </c>
      <c r="E73" s="7" t="inlineStr"/>
      <c r="F73" s="7" t="inlineStr"/>
      <c r="G73" s="7" t="inlineStr">
        <is>
          <t>http://www.magnificatrescue.webs.com</t>
        </is>
      </c>
      <c r="H73" s="7" t="inlineStr">
        <is>
          <t>Contact via site / Petfinder</t>
        </is>
      </c>
      <c r="I73" s="7" t="inlineStr"/>
      <c r="J73" s="7" t="inlineStr">
        <is>
          <t>Foster-based NYC cat rescue; TNR-certified (Mayor's Alliance). Assists local TNR groups across five boroughs + helps owners at risk of losing pets. Confirm current activity - older web presence.</t>
        </is>
      </c>
      <c r="K73" s="10" t="inlineStr">
        <is>
          <t>Low</t>
        </is>
      </c>
      <c r="L73" s="7" t="inlineStr">
        <is>
          <t>https://www.idealist.org/en/nonprofit/f2fd07127ed848c295d82543d726f704-magnificat-cat-rescue-and-rehoming-new-york-city</t>
        </is>
      </c>
      <c r="M73" s="7" t="inlineStr">
        <is>
          <t>2026-08-26</t>
        </is>
      </c>
    </row>
    <row r="74">
      <c r="A74" s="4" t="inlineStr">
        <is>
          <t>QUEENS  (Queens-based / Queens-serving cat groups)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6" t="n"/>
    </row>
    <row r="75" ht="93" customHeight="1">
      <c r="A75" s="7" t="inlineStr">
        <is>
          <t>AdvoCat Rescue, Inc.</t>
        </is>
      </c>
      <c r="B75" s="7" t="inlineStr">
        <is>
          <t>rescue+adoption / TNR</t>
        </is>
      </c>
      <c r="C75" s="7" t="inlineStr">
        <is>
          <t>Forest Hills / Rego Park / Kew Gardens, Queens; adopts to NYC Metro</t>
        </is>
      </c>
      <c r="D75" s="7" t="inlineStr">
        <is>
          <t>11374, 11375, 11415, 11418</t>
        </is>
      </c>
      <c r="E75" s="7" t="inlineStr">
        <is>
          <t>(347) 688-8901</t>
        </is>
      </c>
      <c r="F75" s="7" t="inlineStr">
        <is>
          <t>info@advocatrescue.org</t>
        </is>
      </c>
      <c r="G75" s="7" t="inlineStr">
        <is>
          <t>https://www.advocatrescue.org</t>
        </is>
      </c>
      <c r="H75" s="7" t="inlineStr">
        <is>
          <t>Adopt: https://www.shelterluv.com/matchme/adopt/ADVR/Cat ; foster: email info@ 'Interested in Fostering'</t>
        </is>
      </c>
      <c r="I75" s="7" t="inlineStr">
        <is>
          <t>IG @advocatrescue (11K); Best Friends + ACC New Hope partner</t>
        </is>
      </c>
      <c r="J75" s="7" t="inlineStr">
        <is>
          <t>All-volunteer foster-based 501(c)(3), grew from a Queens social-media rescuer network. Pulls cats/kittens from streets + kill shelters (creating shelter space), vets + socializes, then adopts. Queens-based, adopts NYC Metro. Phone + email confirmed on own site. Verified 2026-08-26.</t>
        </is>
      </c>
      <c r="K75" s="8" t="inlineStr">
        <is>
          <t>High</t>
        </is>
      </c>
      <c r="L75" s="7" t="inlineStr">
        <is>
          <t>https://www.advocatrescue.org/about ; https://www.idealist.org/en/nonprofit/cc1c1f7fc2fd421f9700037f1d2c240e-advocat-rescue-inc-forest-hills</t>
        </is>
      </c>
      <c r="M75" s="7" t="inlineStr">
        <is>
          <t>2026-08-26</t>
        </is>
      </c>
    </row>
    <row r="76" ht="78" customHeight="1">
      <c r="A76" s="7" t="inlineStr">
        <is>
          <t>Animal Rescue of Queens, Inc. (ARQ)</t>
        </is>
      </c>
      <c r="B76" s="7" t="inlineStr">
        <is>
          <t>TNR / rescue+adoption / colony support</t>
        </is>
      </c>
      <c r="C76" s="7" t="inlineStr">
        <is>
          <t>Queens-wide (based Astoria)</t>
        </is>
      </c>
      <c r="D76" s="7" t="inlineStr">
        <is>
          <t>Queens</t>
        </is>
      </c>
      <c r="E76" s="7" t="inlineStr"/>
      <c r="F76" s="7" t="inlineStr"/>
      <c r="G76" s="7" t="inlineStr">
        <is>
          <t>https://arqadopt.org</t>
        </is>
      </c>
      <c r="H76" s="7" t="inlineStr">
        <is>
          <t>Contact + adoption via arqadopt.org</t>
        </is>
      </c>
      <c r="I76" s="7" t="inlineStr">
        <is>
          <t>IG @animalrescueofqueens; Best Friends partner</t>
        </is>
      </c>
      <c r="J76" s="7" t="inlineStr">
        <is>
          <t>501(c)(3) since 2013 (EIN 45-3123005). TNR + spay/neuter assistance + COLONY CARETAKER SUPPORT (food, winter shelters, emergency vet care) + adoption + education. Building an adoption center. Queens-wide. Verified 2026-08-26.</t>
        </is>
      </c>
      <c r="K76" s="8" t="inlineStr">
        <is>
          <t>High</t>
        </is>
      </c>
      <c r="L76" s="7" t="inlineStr">
        <is>
          <t>https://arqadopt.org/ ; https://www.guidestar.org/profile/45-3123005</t>
        </is>
      </c>
      <c r="M76" s="7" t="inlineStr">
        <is>
          <t>2026-08-26</t>
        </is>
      </c>
    </row>
    <row r="77" ht="63" customHeight="1">
      <c r="A77" s="7" t="inlineStr">
        <is>
          <t>Astoria Cat Rescue, Inc.</t>
        </is>
      </c>
      <c r="B77" s="7" t="inlineStr">
        <is>
          <t>TNR / rescue+adoption</t>
        </is>
      </c>
      <c r="C77" s="7" t="inlineStr">
        <is>
          <t>Astoria &amp; Long Island City, Queens</t>
        </is>
      </c>
      <c r="D77" s="7" t="inlineStr">
        <is>
          <t>11101, 11102, 11103, 11105, 11106</t>
        </is>
      </c>
      <c r="E77" s="7" t="inlineStr"/>
      <c r="F77" s="7" t="inlineStr"/>
      <c r="G77" s="7" t="inlineStr">
        <is>
          <t>https://astoriacatrescue.com</t>
        </is>
      </c>
      <c r="H77" s="7" t="inlineStr">
        <is>
          <t>Adoption/foster/contact via site; ~95 volunteers</t>
        </is>
      </c>
      <c r="I77" s="7" t="inlineStr">
        <is>
          <t>IG @astoriacatrescue; FB /astoriacatrescue</t>
        </is>
      </c>
      <c r="J77" s="7" t="inlineStr">
        <is>
          <t>501(c)(3), all-volunteer. Feeds/cares for 100+ cats across 15 Astoria/LIC colonies nightly; TNR + rescue + adoption incl. sick/injured &amp; special-needs. Queens-local (not Brooklyn field response). Verified 2026-08-26.</t>
        </is>
      </c>
      <c r="K77" s="8" t="inlineStr">
        <is>
          <t>High</t>
        </is>
      </c>
      <c r="L77" s="7" t="inlineStr">
        <is>
          <t>https://astoriacatrescue.com/</t>
        </is>
      </c>
      <c r="M77" s="7" t="inlineStr">
        <is>
          <t>2026-08-26</t>
        </is>
      </c>
    </row>
    <row r="78" ht="78" customHeight="1">
      <c r="A78" s="7" t="inlineStr">
        <is>
          <t>Cats of Meow York (COMY)</t>
        </is>
      </c>
      <c r="B78" s="7" t="inlineStr">
        <is>
          <t>TNR / rescue+adoption (neonatal specialty)</t>
        </is>
      </c>
      <c r="C78" s="7" t="inlineStr">
        <is>
          <t>Woodhaven, Queens (+ other parts of NYC)</t>
        </is>
      </c>
      <c r="D78" s="7" t="inlineStr">
        <is>
          <t>11421 + Queens/NYC</t>
        </is>
      </c>
      <c r="E78" s="7" t="inlineStr"/>
      <c r="F78" s="7" t="inlineStr">
        <is>
          <t>info@catsofmeowyork.org</t>
        </is>
      </c>
      <c r="G78" s="7" t="inlineStr">
        <is>
          <t>https://www.catsofmeowyork.org</t>
        </is>
      </c>
      <c r="H78" s="7" t="inlineStr">
        <is>
          <t>Contact + foster/adopt apps on site; Linktree in IG bio</t>
        </is>
      </c>
      <c r="I78" s="7" t="inlineStr">
        <is>
          <t>IG @catsofmeowyork (12K); founder Farhana Haq; women-of-color-led</t>
        </is>
      </c>
      <c r="J78" s="7" t="inlineStr">
        <is>
          <t>High-volume 501(c)(3) (EIN 88-1221020), founded 2017 as The Crazy Cat Family, rebranded 2022. Heavy TNRM + SPECIALTY in neonatal kitten care. One of few NYC rescues with a holding space. Queens-based, works other parts of NYC too. Verified 2026-08-26.</t>
        </is>
      </c>
      <c r="K78" s="8" t="inlineStr">
        <is>
          <t>High</t>
        </is>
      </c>
      <c r="L78" s="7" t="inlineStr">
        <is>
          <t>https://www.catsofmeowyork.org/ ; https://www.orgcouncil.com/ein/881221020</t>
        </is>
      </c>
      <c r="M78" s="7" t="inlineStr">
        <is>
          <t>2026-08-26</t>
        </is>
      </c>
    </row>
    <row r="79" ht="63" customHeight="1">
      <c r="A79" s="7" t="inlineStr">
        <is>
          <t>LIC Feral Feeders and Cat Rescue</t>
        </is>
      </c>
      <c r="B79" s="7" t="inlineStr">
        <is>
          <t>TNR / rescue+adoption / low-cost clinic access</t>
        </is>
      </c>
      <c r="C79" s="7" t="inlineStr">
        <is>
          <t>Long Island City, Queens &amp; surrounding areas</t>
        </is>
      </c>
      <c r="D79" s="7" t="inlineStr">
        <is>
          <t>11101, 11109</t>
        </is>
      </c>
      <c r="E79" s="7" t="inlineStr"/>
      <c r="F79" s="7" t="inlineStr"/>
      <c r="G79" s="7" t="inlineStr">
        <is>
          <t>https://licferalfeeders.org</t>
        </is>
      </c>
      <c r="H79" s="7" t="inlineStr">
        <is>
          <t>Contact via site; responds to community 'all things cat' calls</t>
        </is>
      </c>
      <c r="I79" s="7" t="inlineStr">
        <is>
          <t>IG @licferalfeeders; 10-34 49th Ave, LIC 11101</t>
        </is>
      </c>
      <c r="J79" s="7" t="inlineStr">
        <is>
          <t>Foster-based 501(c)(3) (EIN 92-2593031), formed 2017/incorporated 2023. TNR + rescue + adoption + helps community members access low-cost spay/neuter clinic appointments (cats AND dogs). Queens-local. Verified 2026-08-26.</t>
        </is>
      </c>
      <c r="K79" s="8" t="inlineStr">
        <is>
          <t>High</t>
        </is>
      </c>
      <c r="L79" s="7" t="inlineStr">
        <is>
          <t>https://licferalfeeders.org/ ; https://www.guidestar.org/profile/92-2593031</t>
        </is>
      </c>
      <c r="M79" s="7" t="inlineStr">
        <is>
          <t>2026-08-26</t>
        </is>
      </c>
    </row>
    <row r="80" ht="78" customHeight="1">
      <c r="A80" s="7" t="inlineStr">
        <is>
          <t>TNR Utopia</t>
        </is>
      </c>
      <c r="B80" s="7" t="inlineStr">
        <is>
          <t>TNR (North Queens only)</t>
        </is>
      </c>
      <c r="C80" s="7" t="inlineStr">
        <is>
          <t>North Queens ONLY: North Flushing, Whitestone, Bayside, College Point</t>
        </is>
      </c>
      <c r="D80" s="7" t="inlineStr">
        <is>
          <t>11354, 11356, 11357, 11358, 11360, 11361</t>
        </is>
      </c>
      <c r="E80" s="7" t="inlineStr">
        <is>
          <t>(347) 850-2287 (text/VM preferred)</t>
        </is>
      </c>
      <c r="F80" s="7" t="inlineStr">
        <is>
          <t>hello@tnrutopia.org; tnr@tnrutopia.org; adopt@tnrutopia.org</t>
        </is>
      </c>
      <c r="G80" s="7" t="inlineStr">
        <is>
          <t>https://www.tnrutopia.org</t>
        </is>
      </c>
      <c r="H80" s="7" t="inlineStr">
        <is>
          <t>TNR request via site (weeks-long waitlist); no public intake / no emergencies</t>
        </is>
      </c>
      <c r="I80" s="7" t="inlineStr">
        <is>
          <t>IG @tnrutopia</t>
        </is>
      </c>
      <c r="J80" s="7" t="inlineStr">
        <is>
          <t>501(c)(3) (EIN 82-2975355). TNR-only for North Queens caretakers; does NOT serve Brooklyn, does NOT take owner surrenders or emergencies, planned work only. Included for borough completeness - route Brooklyn cases elsewhere. Verified 2026-08-26.</t>
        </is>
      </c>
      <c r="K80" s="8" t="inlineStr">
        <is>
          <t>High</t>
        </is>
      </c>
      <c r="L80" s="7" t="inlineStr">
        <is>
          <t>https://www.tnrutopia.org/about ; https://www.tnrutopia.org/contact</t>
        </is>
      </c>
      <c r="M80" s="7" t="inlineStr">
        <is>
          <t>2026-08-26</t>
        </is>
      </c>
    </row>
    <row r="81" ht="93" customHeight="1">
      <c r="A81" s="7" t="inlineStr">
        <is>
          <t>Amazing Animals Rescue and Adoptions</t>
        </is>
      </c>
      <c r="B81" s="7" t="inlineStr">
        <is>
          <t>rescue+adoption / TNR</t>
        </is>
      </c>
      <c r="C81" s="7" t="inlineStr">
        <is>
          <t>Whitestone &amp; surrounding Queens</t>
        </is>
      </c>
      <c r="D81" s="7" t="inlineStr">
        <is>
          <t>11357</t>
        </is>
      </c>
      <c r="E81" s="7" t="inlineStr">
        <is>
          <t>(718) 791-0477 (call/text, responsive)</t>
        </is>
      </c>
      <c r="F81" s="7" t="inlineStr">
        <is>
          <t>amazinanimals17@aol.com</t>
        </is>
      </c>
      <c r="G81" s="7" t="inlineStr">
        <is>
          <t>https://www.facebook.com/amazinganimalsrescueandadoptions</t>
        </is>
      </c>
      <c r="H81" s="7" t="inlineStr">
        <is>
          <t>Application + vet reference required; call/text to start</t>
        </is>
      </c>
      <c r="I81" s="7" t="inlineStr">
        <is>
          <t>FB /amazinganimalsrescueandadoptions (Michelerescuer)</t>
        </is>
      </c>
      <c r="J81" s="7" t="inlineStr">
        <is>
          <t>Small Queens cat + dog rescue doing adoption + TNR. Phone-responsive (call/text, 'answer within 5 min' if you leave a message); email is slow. FB-primary web presence, no formal 501(c)(3) status confirmed - Medium confidence. Contacts confirmed on own listings. Verified 2026-08-26.</t>
        </is>
      </c>
      <c r="K81" s="9" t="inlineStr">
        <is>
          <t>Medium</t>
        </is>
      </c>
      <c r="L81" s="7" t="inlineStr">
        <is>
          <t>https://www.adoptapet.com/shelter/77285-amazing-animals-rescue-and-adoption-whitestone-new-york</t>
        </is>
      </c>
      <c r="M81" s="7" t="inlineStr">
        <is>
          <t>2026-08-26</t>
        </is>
      </c>
    </row>
    <row r="82" ht="48" customHeight="1">
      <c r="A82" s="7" t="inlineStr">
        <is>
          <t>Cats 'n Queens</t>
        </is>
      </c>
      <c r="B82" s="7" t="inlineStr">
        <is>
          <t>solo rescuer / rescue+adoption</t>
        </is>
      </c>
      <c r="C82" s="7" t="inlineStr">
        <is>
          <t>Queens County (based Flushing)</t>
        </is>
      </c>
      <c r="D82" s="7" t="inlineStr">
        <is>
          <t>Queens</t>
        </is>
      </c>
      <c r="E82" s="7" t="inlineStr">
        <is>
          <t>(718) 359-6424</t>
        </is>
      </c>
      <c r="F82" s="7" t="inlineStr">
        <is>
          <t>lgedo@nyc.rr.com</t>
        </is>
      </c>
      <c r="G82" s="7" t="inlineStr"/>
      <c r="H82" s="7" t="inlineStr">
        <is>
          <t>Contact Louis Gedo by phone/email; adoption via Petfinder</t>
        </is>
      </c>
      <c r="I82" s="7" t="inlineStr">
        <is>
          <t>Petfinder: cats-n-queens</t>
        </is>
      </c>
      <c r="J82" s="7" t="inlineStr">
        <is>
          <t>Part-time local cat rescue + adoption serving Queens County (contact Louis Gedo). Small/solo operation - phone + email confirmed on own listing. Verified 2026-08-26.</t>
        </is>
      </c>
      <c r="K82" s="9" t="inlineStr">
        <is>
          <t>Medium</t>
        </is>
      </c>
      <c r="L82" s="7" t="inlineStr">
        <is>
          <t>https://www.adoptapet.com/shelter/80200-cats-n-queens-flushing-new-york</t>
        </is>
      </c>
      <c r="M82" s="7" t="inlineStr">
        <is>
          <t>2026-08-26</t>
        </is>
      </c>
    </row>
    <row r="83" ht="78" customHeight="1">
      <c r="A83" s="7" t="inlineStr">
        <is>
          <t>Cats In The Cradle Rescue (CITCR)</t>
        </is>
      </c>
      <c r="B83" s="7" t="inlineStr">
        <is>
          <t>rescue+adoption</t>
        </is>
      </c>
      <c r="C83" s="7" t="inlineStr">
        <is>
          <t>Queens-based (Forest Hills); pulls from ACC citywide</t>
        </is>
      </c>
      <c r="D83" s="7" t="inlineStr">
        <is>
          <t>11375 + citywide</t>
        </is>
      </c>
      <c r="E83" s="7" t="inlineStr"/>
      <c r="F83" s="7" t="inlineStr"/>
      <c r="G83" s="7" t="inlineStr">
        <is>
          <t>https://www.catsinthecradlerescuenyc.org</t>
        </is>
      </c>
      <c r="H83" s="7" t="inlineStr">
        <is>
          <t>Adoption via weekend events, two Petco habitats &amp; Petfinder; contact via site/FB</t>
        </is>
      </c>
      <c r="I83" s="7" t="inlineStr">
        <is>
          <t>FB /Cats in the Cradle Rescue NYC; PO Box 754078, Forest Hills 11375</t>
        </is>
      </c>
      <c r="J83" s="7" t="inlineStr">
        <is>
          <t>Queens nonprofit. Rescues social cats/kittens at high euthanasia risk from NYC ACC + found/surrendered cats; adopts via weekend events + Petco habitats + Petfinder. NOT the several out-of-state 'Cat's Cradle' orgs (OR/CA/NC/VA/BC). Verified 2026-08-26.</t>
        </is>
      </c>
      <c r="K83" s="9" t="inlineStr">
        <is>
          <t>Medium</t>
        </is>
      </c>
      <c r="L83" s="7" t="inlineStr">
        <is>
          <t>https://www.catsinthecradlerescuenyc.org/ ; https://www.facebook.com/p/Cats-in-the-Cradle-Rescue-NYC-100075851090327/</t>
        </is>
      </c>
      <c r="M83" s="7" t="inlineStr">
        <is>
          <t>2026-08-26</t>
        </is>
      </c>
    </row>
    <row r="84" ht="93" customHeight="1">
      <c r="A84" s="7" t="inlineStr">
        <is>
          <t>Catstoria Cat Rescue Inc. (Kitty Haven)</t>
        </is>
      </c>
      <c r="B84" s="7" t="inlineStr">
        <is>
          <t>rescue+adoption / TNR (sick/injured + kittens)</t>
        </is>
      </c>
      <c r="C84" s="7" t="inlineStr">
        <is>
          <t>Astoria &amp; Long Island City, Queens</t>
        </is>
      </c>
      <c r="D84" s="7" t="inlineStr">
        <is>
          <t>11101, 11102, 11103, 11105, 11106</t>
        </is>
      </c>
      <c r="E84" s="7" t="inlineStr"/>
      <c r="F84" s="7" t="inlineStr">
        <is>
          <t>catstoriarescue@gmail.com</t>
        </is>
      </c>
      <c r="G84" s="7" t="inlineStr">
        <is>
          <t>https://catstoria.com</t>
        </is>
      </c>
      <c r="H84" s="7" t="inlineStr">
        <is>
          <t>Adoption via Petfinder; contact via email</t>
        </is>
      </c>
      <c r="I84" s="7" t="inlineStr">
        <is>
          <t>IG @catstoria; runs 'Kitty Haven' cat house</t>
        </is>
      </c>
      <c r="J84" s="7" t="inlineStr">
        <is>
          <t>501(c)(3) (EIN 92-2795566). SPECIALTY: kitten rescue, dumped house cats, and SICK &amp; INJURED ferals + TNR. Runs 'Kitty Haven,' a staffed cat house where cats recover from illness/surgery until adopted. Distinct from Astoria Cat Rescue &amp; SaveKitty. Email confirmed. Verified 2026-08-26.</t>
        </is>
      </c>
      <c r="K84" s="9" t="inlineStr">
        <is>
          <t>Medium</t>
        </is>
      </c>
      <c r="L84" s="7" t="inlineStr">
        <is>
          <t>https://catstoria.com/ ; https://www.petfinder.com/member/us/ny/astoria/catstoria-cat-rescue-ny1697/</t>
        </is>
      </c>
      <c r="M84" s="7" t="inlineStr">
        <is>
          <t>2026-08-26</t>
        </is>
      </c>
    </row>
    <row r="85" ht="78" customHeight="1">
      <c r="A85" s="7" t="inlineStr">
        <is>
          <t>Loving Touch, Inc.</t>
        </is>
      </c>
      <c r="B85" s="7" t="inlineStr">
        <is>
          <t>rescue+adoption (foster-based)</t>
        </is>
      </c>
      <c r="C85" s="7" t="inlineStr">
        <is>
          <t>Flushing &amp; surrounding Queens</t>
        </is>
      </c>
      <c r="D85" s="7" t="inlineStr">
        <is>
          <t>11365 + Queens</t>
        </is>
      </c>
      <c r="E85" s="7" t="inlineStr">
        <is>
          <t>(718) 820-9220</t>
        </is>
      </c>
      <c r="F85" s="7" t="inlineStr">
        <is>
          <t>puppygrl52@gmail.com; admin@lovingtouchrescue.org</t>
        </is>
      </c>
      <c r="G85" s="7" t="inlineStr"/>
      <c r="H85" s="7" t="inlineStr">
        <is>
          <t>Contact by email (Zulma); foster-to-adopt (~1 month) + home check; adoptables on Petfinder</t>
        </is>
      </c>
      <c r="I85" s="7" t="inlineStr">
        <is>
          <t>Petfinder: loving-touch-inc NY151; PO Box 650404, Flushing 11365</t>
        </is>
      </c>
      <c r="J85" s="7" t="inlineStr">
        <is>
          <t>All-volunteer foster-based 501(c)(3). Cats + dogs; helps owners who can no longer keep pets, spays/neuters all rescues, does courtesy posts (incl. senior cats). Small, modest web presence - reach via email. Verified 2026-08-26.</t>
        </is>
      </c>
      <c r="K85" s="9" t="inlineStr">
        <is>
          <t>Medium</t>
        </is>
      </c>
      <c r="L85" s="7" t="inlineStr">
        <is>
          <t>https://www.petfinder.com/member/us/ny/flushing/loving-touch-inc-ny151/</t>
        </is>
      </c>
      <c r="M85" s="7" t="inlineStr">
        <is>
          <t>2026-08-26</t>
        </is>
      </c>
    </row>
    <row r="86" ht="78" customHeight="1">
      <c r="A86" s="7" t="inlineStr">
        <is>
          <t>MeowRoof</t>
        </is>
      </c>
      <c r="B86" s="7" t="inlineStr">
        <is>
          <t>TNR / rescue+adoption / colony support</t>
        </is>
      </c>
      <c r="C86" s="7" t="inlineStr">
        <is>
          <t>Flushing &amp; surrounding Queens</t>
        </is>
      </c>
      <c r="D86" s="7" t="inlineStr">
        <is>
          <t>11354</t>
        </is>
      </c>
      <c r="E86" s="7" t="inlineStr"/>
      <c r="F86" s="7" t="inlineStr"/>
      <c r="G86" s="7" t="inlineStr">
        <is>
          <t>https://www.meowroof.org</t>
        </is>
      </c>
      <c r="H86" s="7" t="inlineStr">
        <is>
          <t>Contact + adoption via site</t>
        </is>
      </c>
      <c r="I86" s="7" t="inlineStr">
        <is>
          <t>39-09 Main Street, Flushing NY 11354</t>
        </is>
      </c>
      <c r="J86" s="7" t="inlineStr">
        <is>
          <t>Volunteer-run Flushing nonprofit. Year-round TNR + winter stray shelters + rescue/foster/adoption + caregiver support (pet food donations, spay/neuter events) + community education. Has a physical address. Verified 2026-08-26.</t>
        </is>
      </c>
      <c r="K86" s="9" t="inlineStr">
        <is>
          <t>Medium</t>
        </is>
      </c>
      <c r="L86" s="7" t="inlineStr">
        <is>
          <t>https://www.meowroof.org/ ; https://www.idealist.org/en/nonprofit/4c09c6984eb54fa283ff9379c70a535a-meowroof-flushing</t>
        </is>
      </c>
      <c r="M86" s="7" t="inlineStr">
        <is>
          <t>2026-08-26</t>
        </is>
      </c>
    </row>
    <row r="87" ht="78" customHeight="1">
      <c r="A87" s="7" t="inlineStr">
        <is>
          <t>NYC Second Chance Rescue</t>
        </is>
      </c>
      <c r="B87" s="7" t="inlineStr">
        <is>
          <t>rescue+adoption (critical-medical)</t>
        </is>
      </c>
      <c r="C87" s="7" t="inlineStr">
        <is>
          <t>Queens-based (LIC/Whitestone); volunteer network across NYC + tri-state</t>
        </is>
      </c>
      <c r="D87" s="7" t="inlineStr">
        <is>
          <t>Queens base; citywide</t>
        </is>
      </c>
      <c r="E87" s="7" t="inlineStr"/>
      <c r="F87" s="7" t="inlineStr"/>
      <c r="G87" s="7" t="inlineStr">
        <is>
          <t>https://nycsecondchancerescue.org</t>
        </is>
      </c>
      <c r="H87" s="7" t="inlineStr">
        <is>
          <t>Contact form + adoption app at nycsecondchancerescue.org/adopt</t>
        </is>
      </c>
      <c r="I87" s="7" t="inlineStr">
        <is>
          <t>IG @nycscr; PO Box 570701, Whitestone NY 11357</t>
        </is>
      </c>
      <c r="J87" s="7" t="inlineStr">
        <is>
          <t>501(c)(3) since 2009. SPECIALTY: critically injured/neglected/abused dogs &amp; cats pulled from ACC 'death row' - many need emergency vet care. Foster + private-boarding based, no shelter. Queens-based but rescues citywide. Contact via site. Verified 2026-08-26.</t>
        </is>
      </c>
      <c r="K87" s="9" t="inlineStr">
        <is>
          <t>Medium</t>
        </is>
      </c>
      <c r="L87" s="7" t="inlineStr">
        <is>
          <t>https://nycsecondchancerescue.org/ ; https://www.adoptapet.com/shelter/84725-nyc-second-chance-rescue-long-island-city-new-york</t>
        </is>
      </c>
      <c r="M87" s="7" t="inlineStr">
        <is>
          <t>2026-08-26</t>
        </is>
      </c>
    </row>
    <row r="88" ht="78" customHeight="1">
      <c r="A88" s="7" t="inlineStr">
        <is>
          <t>Noah's Ark Animal Rescue NY, Inc.</t>
        </is>
      </c>
      <c r="B88" s="7" t="inlineStr">
        <is>
          <t>rescue+adoption / TNR</t>
        </is>
      </c>
      <c r="C88" s="7" t="inlineStr">
        <is>
          <t>Rockaway Beach community, Queens</t>
        </is>
      </c>
      <c r="D88" s="7" t="inlineStr">
        <is>
          <t>11691, 11692, 11693, 11694</t>
        </is>
      </c>
      <c r="E88" s="7" t="inlineStr"/>
      <c r="F88" s="7" t="inlineStr">
        <is>
          <t>via contact form at noahsarkny.com (staff use @noahsarkny.com)</t>
        </is>
      </c>
      <c r="G88" s="7" t="inlineStr">
        <is>
          <t>https://noahsarkny.com</t>
        </is>
      </c>
      <c r="H88" s="7" t="inlineStr">
        <is>
          <t>Contact form on site; adoption + foster + volunteer</t>
        </is>
      </c>
      <c r="I88" s="7" t="inlineStr">
        <is>
          <t>FB /Noah's Ark Animal Rescue NY; Pres./Co-Founder Denise Hock</t>
        </is>
      </c>
      <c r="J88" s="7" t="inlineStr">
        <is>
          <t>501(c)(3), founded 2015. Cats/kittens focus (orphaned/neglected/abandoned) in Rockaway Beach + TNR. DISAMBIGUATION: several unrelated 'Noah's Ark' orgs exist out of state (IA/TN/NJ) - this is the Rockaway/Queens NY one at noahsarkny.com ONLY. Verified 2026-08-26.</t>
        </is>
      </c>
      <c r="K88" s="9" t="inlineStr">
        <is>
          <t>Medium</t>
        </is>
      </c>
      <c r="L88" s="7" t="inlineStr">
        <is>
          <t>https://noahsarkny.com/</t>
        </is>
      </c>
      <c r="M88" s="7" t="inlineStr">
        <is>
          <t>2026-08-26</t>
        </is>
      </c>
    </row>
    <row r="89" ht="78" customHeight="1">
      <c r="A89" s="7" t="inlineStr">
        <is>
          <t>Saint Spiro Cat Rescue, Inc.</t>
        </is>
      </c>
      <c r="B89" s="7" t="inlineStr">
        <is>
          <t>rescue+adoption / TNR (special-needs)</t>
        </is>
      </c>
      <c r="C89" s="7" t="inlineStr">
        <is>
          <t>Fresh Meadows &amp; surrounding Queens</t>
        </is>
      </c>
      <c r="D89" s="7" t="inlineStr">
        <is>
          <t>11365, 11366, 11367</t>
        </is>
      </c>
      <c r="E89" s="7" t="inlineStr">
        <is>
          <t>(347) 622-2630</t>
        </is>
      </c>
      <c r="F89" s="7" t="inlineStr">
        <is>
          <t>saintspiro007@gmail.com</t>
        </is>
      </c>
      <c r="G89" s="7" t="inlineStr">
        <is>
          <t>https://www.facebook.com/saintspirocatrescueinc/</t>
        </is>
      </c>
      <c r="H89" s="7" t="inlineStr">
        <is>
          <t>Adoption application via Petfinder/Adoptapet; contact via email/phone</t>
        </is>
      </c>
      <c r="I89" s="7" t="inlineStr">
        <is>
          <t>IG @saintspirocatadoptionsnyc; FB /saintspirocatrescueinc</t>
        </is>
      </c>
      <c r="J89" s="7" t="inlineStr">
        <is>
          <t>Foster-based 501(c)(3) founded ~2015 by Spiros &amp; Rakhi Tsadilas. NICHE: special-needs, injured, dumped cats 'nobody wants to rescue,' plus TNR; funds heavy medical care. Queens-based. Phone + email confirmed via HUG directory. Verified 2026-08-26.</t>
        </is>
      </c>
      <c r="K89" s="9" t="inlineStr">
        <is>
          <t>Medium</t>
        </is>
      </c>
      <c r="L89" s="7" t="inlineStr">
        <is>
          <t>https://www.humaneurbangroup.org/finding-homes-for-cats ; https://www.adoptapet.com/shelter/190665-saint-spiro-cat-rescue-inc-fresh-meadows-new-york</t>
        </is>
      </c>
      <c r="M89" s="7" t="inlineStr">
        <is>
          <t>2026-08-26</t>
        </is>
      </c>
    </row>
    <row r="90" ht="63" customHeight="1">
      <c r="A90" s="7" t="inlineStr">
        <is>
          <t>Animal Lovers Rescue and Adoptions</t>
        </is>
      </c>
      <c r="B90" s="7" t="inlineStr">
        <is>
          <t>solo rescuer / rescue+adoption / TNR</t>
        </is>
      </c>
      <c r="C90" s="7" t="inlineStr">
        <is>
          <t>Whitestone &amp; surrounding Queens</t>
        </is>
      </c>
      <c r="D90" s="7" t="inlineStr">
        <is>
          <t>11357</t>
        </is>
      </c>
      <c r="E90" s="7" t="inlineStr"/>
      <c r="F90" s="7" t="inlineStr"/>
      <c r="G90" s="7" t="inlineStr"/>
      <c r="H90" s="7" t="inlineStr">
        <is>
          <t>Adoption application + vet check; contact via Adoptapet listing</t>
        </is>
      </c>
      <c r="I90" s="7" t="inlineStr">
        <is>
          <t>Adoptapet: animal-lovers-rescue-and-adoptions</t>
        </is>
      </c>
      <c r="J90" s="7" t="inlineStr">
        <is>
          <t>Small Whitestone rescue: takes in animals, adoption + advice + community TNR. Only verifiable channel is the Adoptapet listing (no independent site/email/phone found). Real but reach via listing. Verified 2026-08-26.</t>
        </is>
      </c>
      <c r="K90" s="10" t="inlineStr">
        <is>
          <t>Low</t>
        </is>
      </c>
      <c r="L90" s="7" t="inlineStr">
        <is>
          <t>https://www.adoptapet.com/shelter/77260-animal-lovers-rescue-and-adoptions-whitestone-new-york</t>
        </is>
      </c>
      <c r="M90" s="7" t="inlineStr">
        <is>
          <t>2026-08-26</t>
        </is>
      </c>
    </row>
    <row r="91" ht="78" customHeight="1">
      <c r="A91" s="7" t="inlineStr">
        <is>
          <t>New York Meow Sanctuary</t>
        </is>
      </c>
      <c r="B91" s="7" t="inlineStr">
        <is>
          <t>solo rescuer / TNR / rescue+adoption</t>
        </is>
      </c>
      <c r="C91" s="7" t="inlineStr">
        <is>
          <t>Flushing, Queens</t>
        </is>
      </c>
      <c r="D91" s="7" t="inlineStr">
        <is>
          <t>Flushing (11354-11358)</t>
        </is>
      </c>
      <c r="E91" s="7" t="inlineStr"/>
      <c r="F91" s="7" t="inlineStr"/>
      <c r="G91" s="7" t="inlineStr"/>
      <c r="H91" s="7" t="inlineStr">
        <is>
          <t>Contact via Petfinder profile messaging (no independent site found)</t>
        </is>
      </c>
      <c r="I91" s="7" t="inlineStr">
        <is>
          <t>Petfinder: new-york-meow-sanctuary; Amazon wishlist for donations</t>
        </is>
      </c>
      <c r="J91" s="7" t="inlineStr">
        <is>
          <t>Group of Flushing cat rescuers: TNR + adoption + sick-cat medical support + neighborhood feeding + DIY winter shelters. Only verifiable channel is the Petfinder profile - no independent email/phone/website found. Real but reach via Petfinder. Verified 2026-08-26.</t>
        </is>
      </c>
      <c r="K91" s="10" t="inlineStr">
        <is>
          <t>Low</t>
        </is>
      </c>
      <c r="L91" s="7" t="inlineStr">
        <is>
          <t>https://www.petfinder.com/member/us/ny/flushing/new-york-meow-sanctuary-ny1686/</t>
        </is>
      </c>
      <c r="M91" s="7" t="inlineStr">
        <is>
          <t>2026-08-26</t>
        </is>
      </c>
    </row>
    <row r="92">
      <c r="A92" s="4" t="inlineStr">
        <is>
          <t>BRONX  (Bronx-based / Bronx-serving cat groups)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6" t="n"/>
    </row>
    <row r="93" ht="63" customHeight="1">
      <c r="A93" s="7" t="inlineStr">
        <is>
          <t>Bronx Community Cats</t>
        </is>
      </c>
      <c r="B93" s="7" t="inlineStr">
        <is>
          <t>TNR / colony support</t>
        </is>
      </c>
      <c r="C93" s="7" t="inlineStr">
        <is>
          <t>The Bronx</t>
        </is>
      </c>
      <c r="D93" s="7" t="inlineStr">
        <is>
          <t>Bronx</t>
        </is>
      </c>
      <c r="E93" s="7" t="inlineStr"/>
      <c r="F93" s="7" t="inlineStr"/>
      <c r="G93" s="7" t="inlineStr">
        <is>
          <t>https://www.bronxcommunitycats.org</t>
        </is>
      </c>
      <c r="H93" s="7" t="inlineStr">
        <is>
          <t>Contact via site; help for community members doing TNRM</t>
        </is>
      </c>
      <c r="I93" s="7" t="inlineStr">
        <is>
          <t>IG/FB @bronxcommunitycats</t>
        </is>
      </c>
      <c r="J93" s="7" t="inlineStr">
        <is>
          <t>501(c)(3) (EIN 85-3303434). TNRM organizers - help Bronx community members trap-neuter-return-monitor free-roaming cats; coordinate placement via partners (e.g. RescueNYC). Bronx-focused. Verified 2026-08-26.</t>
        </is>
      </c>
      <c r="K93" s="8" t="inlineStr">
        <is>
          <t>High</t>
        </is>
      </c>
      <c r="L93" s="7" t="inlineStr">
        <is>
          <t>https://www.bronxcommunitycats.org/</t>
        </is>
      </c>
      <c r="M93" s="7" t="inlineStr">
        <is>
          <t>2026-08-26</t>
        </is>
      </c>
    </row>
    <row r="94" ht="78" customHeight="1">
      <c r="A94" s="7" t="inlineStr">
        <is>
          <t>Bronx Tails Cat Rescue</t>
        </is>
      </c>
      <c r="B94" s="7" t="inlineStr">
        <is>
          <t>TNR / rescue+adoption</t>
        </is>
      </c>
      <c r="C94" s="7" t="inlineStr">
        <is>
          <t>Bronx &amp; Harlem (primary); own listing notes 'a little bit of Brooklyn' + Westchester</t>
        </is>
      </c>
      <c r="D94" s="7" t="inlineStr">
        <is>
          <t>Bronx / Upper Manhattan</t>
        </is>
      </c>
      <c r="E94" s="7" t="inlineStr"/>
      <c r="F94" s="7" t="inlineStr">
        <is>
          <t>bronxtailscatrescue@gmail.com (general); tnrjamie@gmail.com (TNR)</t>
        </is>
      </c>
      <c r="G94" s="7" t="inlineStr">
        <is>
          <t>https://bronxtails.org</t>
        </is>
      </c>
      <c r="H94" s="7" t="inlineStr">
        <is>
          <t>Adopt: https://bit.ly/btcradopt ; TNR advice via FB/IG DM</t>
        </is>
      </c>
      <c r="I94" s="7" t="inlineStr">
        <is>
          <t>IG/FB @bronxtailscatrescue</t>
        </is>
      </c>
      <c r="J94" s="7" t="inlineStr">
        <is>
          <t>All-volunteer 501(c)(3), no shelter, no surrenders. TNR + colony care + rescue in Bronx/Harlem; runs ASPCA TNR transports. FeLV+ cat adoption specialty. Bronx-primary but adopts to anyone in/around NYC and does some Brooklyn. Active 2026. Verified 2026-08-26.</t>
        </is>
      </c>
      <c r="K94" s="8" t="inlineStr">
        <is>
          <t>High</t>
        </is>
      </c>
      <c r="L94" s="7" t="inlineStr">
        <is>
          <t>https://bronxtails.org/about/ ; https://www.adoptapet.com/shelter/83848-bronx-tails-cat-rescue-bronx-new-york</t>
        </is>
      </c>
      <c r="M94" s="7" t="inlineStr">
        <is>
          <t>2026-08-26</t>
        </is>
      </c>
    </row>
    <row r="95" ht="93" customHeight="1">
      <c r="A95" s="7" t="inlineStr">
        <is>
          <t>Kittens and Barbells Rescue, Inc.</t>
        </is>
      </c>
      <c r="B95" s="7" t="inlineStr">
        <is>
          <t>TNR / rescue+adoption (all-ages, neonatal-senior)</t>
        </is>
      </c>
      <c r="C95" s="7" t="inlineStr">
        <is>
          <t>Bronx-based; services NYC + Westchester</t>
        </is>
      </c>
      <c r="D95" s="7" t="inlineStr">
        <is>
          <t>10469 + NYC/Westchester</t>
        </is>
      </c>
      <c r="E95" s="7" t="inlineStr"/>
      <c r="F95" s="7" t="inlineStr"/>
      <c r="G95" s="7" t="inlineStr">
        <is>
          <t>https://www.kittensandbarbells.org</t>
        </is>
      </c>
      <c r="H95" s="7" t="inlineStr">
        <is>
          <t>Adoption application: kittensandbarbells.org/adoptus (email response up to 72 hrs)</t>
        </is>
      </c>
      <c r="I95" s="7" t="inlineStr">
        <is>
          <t>IG @kittensandbarbells_; FB /kittensandbarbells</t>
        </is>
      </c>
      <c r="J95" s="7" t="inlineStr">
        <is>
          <t>Foster-based 501(c)(3), co-founders Katie (TNR-certified, neonatal tube/bottle-feed trained) &amp; Donovan. TNR + rescue of the most vulnerable felines of ALL AGES - neonatal kittens through seniors, incl. sick/injured. Satellite nurseries. Bronx-based, works NYC + Westchester. Verified 2026-08-26.</t>
        </is>
      </c>
      <c r="K95" s="8" t="inlineStr">
        <is>
          <t>High</t>
        </is>
      </c>
      <c r="L95" s="7" t="inlineStr">
        <is>
          <t>https://www.kittensandbarbells.org/ ; https://www.kittensandbarbells.org/meet-the-team</t>
        </is>
      </c>
      <c r="M95" s="7" t="inlineStr">
        <is>
          <t>2026-08-26</t>
        </is>
      </c>
    </row>
    <row r="96" ht="63" customHeight="1">
      <c r="A96" s="7" t="inlineStr">
        <is>
          <t>NYC Cat Coalition (NYC Bronx Westchester Cat Coalition)</t>
        </is>
      </c>
      <c r="B96" s="7" t="inlineStr">
        <is>
          <t>TNR / rescue+adoption</t>
        </is>
      </c>
      <c r="C96" s="7" t="inlineStr">
        <is>
          <t>The Bronx &amp; surrounding areas (into Westchester)</t>
        </is>
      </c>
      <c r="D96" s="7" t="inlineStr">
        <is>
          <t>Bronx / Westchester</t>
        </is>
      </c>
      <c r="E96" s="7" t="inlineStr"/>
      <c r="F96" s="7" t="inlineStr">
        <is>
          <t>nycatcoal@yahoo.com</t>
        </is>
      </c>
      <c r="G96" s="7" t="inlineStr">
        <is>
          <t>https://www.nycatcoal.org</t>
        </is>
      </c>
      <c r="H96" s="7" t="inlineStr">
        <is>
          <t>Email for adoption application; adoption center at Pelham Manor PetSmart</t>
        </is>
      </c>
      <c r="I96" s="7" t="inlineStr">
        <is>
          <t>IG @nycatcoalition; FB @NYCCatCoalition</t>
        </is>
      </c>
      <c r="J96" s="7" t="inlineStr">
        <is>
          <t>100% no-kill, all-volunteer 501(c)(3) (EIN 13-3144256). TNR in/around the Bronx + rescue from streets &amp; owner surrender + adoption. Checks email regularly. Active 2026. Verified 2026-08-26.</t>
        </is>
      </c>
      <c r="K96" s="8" t="inlineStr">
        <is>
          <t>High</t>
        </is>
      </c>
      <c r="L96" s="7" t="inlineStr">
        <is>
          <t>https://www.adoptapet.com/shelter/107611-nyc-cat-coalition-bronx-new-york ; https://www.guidestar.org/profile/13-3144256</t>
        </is>
      </c>
      <c r="M96" s="7" t="inlineStr">
        <is>
          <t>2026-08-26</t>
        </is>
      </c>
    </row>
    <row r="97" ht="93" customHeight="1">
      <c r="A97" s="7" t="inlineStr">
        <is>
          <t>Eastchester Bay Stray Cat Project, Inc.</t>
        </is>
      </c>
      <c r="B97" s="7" t="inlineStr">
        <is>
          <t>TNR / rescue (hyper-local)</t>
        </is>
      </c>
      <c r="C97" s="7" t="inlineStr">
        <is>
          <t>City Island, Pelham Bay Park &amp; NE Bronx</t>
        </is>
      </c>
      <c r="D97" s="7" t="inlineStr">
        <is>
          <t>10464 + NE Bronx</t>
        </is>
      </c>
      <c r="E97" s="7" t="inlineStr"/>
      <c r="F97" s="7" t="inlineStr"/>
      <c r="G97" s="7" t="inlineStr"/>
      <c r="H97" s="7" t="inlineStr">
        <is>
          <t>Contact via Petfinder / Facebook / Instagram DM</t>
        </is>
      </c>
      <c r="I97" s="7" t="inlineStr">
        <is>
          <t>IG @eastchesterbaystraycats; FB /EastchesterBayStrayCatProject; 48 Hawkins St, Bronx 10464</t>
        </is>
      </c>
      <c r="J97" s="7" t="inlineStr">
        <is>
          <t>501(c)(3) (EIN 85-4258275, NYS 2020) volunteer TNR group focused on City Island + Pelham Bay Park + NE Bronx; also rescues feral kittens + friendly strays. Pursuing 'Lock the Block' 100% TNR on City Island (unique bridge-only geography). Reach via Petfinder/FB/IG. Verified 2026-08-26.</t>
        </is>
      </c>
      <c r="K97" s="9" t="inlineStr">
        <is>
          <t>Medium</t>
        </is>
      </c>
      <c r="L97" s="7" t="inlineStr">
        <is>
          <t>https://www.petfinder.com/member/us/ny/bronx/eastchester-bay-stray-cat-project-ny1509/ ; https://www.charitynavigator.org/ein/854258275</t>
        </is>
      </c>
      <c r="M97" s="7" t="inlineStr">
        <is>
          <t>2026-08-26</t>
        </is>
      </c>
    </row>
    <row r="98" ht="63" customHeight="1">
      <c r="A98" s="7" t="inlineStr">
        <is>
          <t>Little Wanderers NYC</t>
        </is>
      </c>
      <c r="B98" s="7" t="inlineStr">
        <is>
          <t>TNR / rescue+adoption (Bronx-based, multi-borough)</t>
        </is>
      </c>
      <c r="C98" s="7" t="inlineStr">
        <is>
          <t>All 5 boroughs; primary focus South Bronx/East Harlem; will help Brooklyn if needed</t>
        </is>
      </c>
      <c r="D98" s="7" t="inlineStr">
        <is>
          <t>Citywide (Bronx-focused)</t>
        </is>
      </c>
      <c r="E98" s="7" t="inlineStr">
        <is>
          <t>Rescue line (IG): 929-282-2271</t>
        </is>
      </c>
      <c r="F98" s="7" t="inlineStr"/>
      <c r="G98" s="7" t="inlineStr">
        <is>
          <t>https://lwnyc.org</t>
        </is>
      </c>
      <c r="H98" s="7" t="inlineStr">
        <is>
          <t>https://lwnyc.org/rescue-form</t>
        </is>
      </c>
      <c r="I98" s="7" t="inlineStr">
        <is>
          <t>IG @littlewanderersnyc / @littlewanderersadoptions</t>
        </is>
      </c>
      <c r="J98" s="7" t="inlineStr">
        <is>
          <t>All-volunteer, foster-based 501(c)(3). Specializes in severely injured/medically needy cats + ACC New Hope partner. Bronx-focused but helps other boroughs. Use rescue form / IG.</t>
        </is>
      </c>
      <c r="K98" s="9" t="inlineStr">
        <is>
          <t>Medium</t>
        </is>
      </c>
      <c r="L98" s="7" t="inlineStr">
        <is>
          <t>https://lwnyc.org/</t>
        </is>
      </c>
      <c r="M98" s="7" t="inlineStr">
        <is>
          <t>2026-08-26</t>
        </is>
      </c>
    </row>
    <row r="99" ht="93" customHeight="1">
      <c r="A99" s="7" t="inlineStr">
        <is>
          <t>New Beginning Animal Rescue (NBAR)</t>
        </is>
      </c>
      <c r="B99" s="7" t="inlineStr">
        <is>
          <t>rescue+adoption (physical shelter)</t>
        </is>
      </c>
      <c r="C99" s="7" t="inlineStr">
        <is>
          <t>The Bronx (physical facility); serves NYC + NY/NJ/CT</t>
        </is>
      </c>
      <c r="D99" s="7" t="inlineStr">
        <is>
          <t>10462 + regional</t>
        </is>
      </c>
      <c r="E99" s="7" t="inlineStr">
        <is>
          <t>(347) 691-3282</t>
        </is>
      </c>
      <c r="F99" s="7" t="inlineStr">
        <is>
          <t>adopt@nbanimalrescue.org</t>
        </is>
      </c>
      <c r="G99" s="7" t="inlineStr">
        <is>
          <t>https://www.nbanimalrescue.org</t>
        </is>
      </c>
      <c r="H99" s="7" t="inlineStr">
        <is>
          <t>Adoption via site/email; walk-in facility</t>
        </is>
      </c>
      <c r="I99" s="7" t="inlineStr">
        <is>
          <t>FB /NBARthebronx; 2515 Newbold Ave, Bronx 10462; founder Pedro Rosario</t>
        </is>
      </c>
      <c r="J99" s="7" t="inlineStr">
        <is>
          <t>501(c)(3) (formerly NYC's Top Dog, est. 2010), founder Pedro Rosario (16 yrs at NYC ACC). Bills itself as the only no-kill facility shelter in the Bronx; houses ~40 cats + ~60 dogs. Rare Bronx WALK-IN option. DISAMBIGUATION: unrelated 'New Beginnings Animal Rescue' orgs exist in TX/MS - this is the Bronx one. Verified 2026-08-26.</t>
        </is>
      </c>
      <c r="K99" s="9" t="inlineStr">
        <is>
          <t>Medium</t>
        </is>
      </c>
      <c r="L99" s="7" t="inlineStr">
        <is>
          <t>https://www.adoptapet.com/shelter/89777-new-beginning-animal-rescue-bronx-new-york</t>
        </is>
      </c>
      <c r="M99" s="7" t="inlineStr">
        <is>
          <t>2026-08-26</t>
        </is>
      </c>
    </row>
    <row r="100" ht="78" customHeight="1">
      <c r="A100" s="7" t="inlineStr">
        <is>
          <t>The Poor Animals of St. Francis, Inc.</t>
        </is>
      </c>
      <c r="B100" s="7" t="inlineStr">
        <is>
          <t>rescue+adoption / colony feeding</t>
        </is>
      </c>
      <c r="C100" s="7" t="inlineStr">
        <is>
          <t>The Bronx (Throggs Neck area)</t>
        </is>
      </c>
      <c r="D100" s="7" t="inlineStr">
        <is>
          <t>10465 + Bronx</t>
        </is>
      </c>
      <c r="E100" s="7" t="inlineStr">
        <is>
          <t>(718) 822-0043</t>
        </is>
      </c>
      <c r="F100" s="7" t="inlineStr">
        <is>
          <t>petsofstfrancis@aol.com</t>
        </is>
      </c>
      <c r="G100" s="7" t="inlineStr"/>
      <c r="H100" s="7" t="inlineStr">
        <is>
          <t>Email/call for adoption application; adoptable pets on Petfinder (shelter NY587)</t>
        </is>
      </c>
      <c r="I100" s="7" t="inlineStr">
        <is>
          <t>FB /Poor-Animals-of-St-Francis; PO Box 701, Bronx 10465; Petfinder NY587</t>
        </is>
      </c>
      <c r="J100" s="7" t="inlineStr">
        <is>
          <t>Bronx cat + dog rescue: permanent-home placement + helps feed colonies. Older-style operation (AOL email, Petfinder/FB presence, no standalone website) - Medium confidence, confirm current activity. Contacts consistent across listings. Verified 2026-08-26.</t>
        </is>
      </c>
      <c r="K100" s="9" t="inlineStr">
        <is>
          <t>Medium</t>
        </is>
      </c>
      <c r="L100" s="7" t="inlineStr">
        <is>
          <t>https://www.petfinder.com/member/us/ny/new-york/the-poor-animals-of-st-francis-inc-ny587/</t>
        </is>
      </c>
      <c r="M100" s="7" t="inlineStr">
        <is>
          <t>2026-08-26</t>
        </is>
      </c>
    </row>
    <row r="101">
      <c r="A101" s="4" t="inlineStr">
        <is>
          <t>MANHATTAN  (Manhattan-based cat groups)</t>
        </is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6" t="n"/>
    </row>
    <row r="102" ht="108" customHeight="1">
      <c r="A102" s="7" t="inlineStr">
        <is>
          <t>Animal Haven</t>
        </is>
      </c>
      <c r="B102" s="7" t="inlineStr">
        <is>
          <t>rescue+adoption (physical shelter)</t>
        </is>
      </c>
      <c r="C102" s="7" t="inlineStr">
        <is>
          <t>Manhattan (SoHo/Little Italy) shelter; serves NYC + Tri-State</t>
        </is>
      </c>
      <c r="D102" s="7" t="inlineStr">
        <is>
          <t>10013 + Tri-State</t>
        </is>
      </c>
      <c r="E102" s="7" t="inlineStr">
        <is>
          <t>(212) 274-8511</t>
        </is>
      </c>
      <c r="F102" s="7" t="inlineStr">
        <is>
          <t>dogsandcats@ah-nyc.org</t>
        </is>
      </c>
      <c r="G102" s="7" t="inlineStr">
        <is>
          <t>https://animalhaven.org</t>
        </is>
      </c>
      <c r="H102" s="7" t="inlineStr">
        <is>
          <t>Adoption Interest Form + Animal Intake (surrender) Form on site; walk-in adoptions during hours</t>
        </is>
      </c>
      <c r="I102" s="7" t="inlineStr">
        <is>
          <t>IG @animalhavenshelter; 200 Centre St, NY 10013 (closed Mon; phones 12-7 daily)</t>
        </is>
      </c>
      <c r="J102" s="7" t="inlineStr">
        <is>
          <t>Established 501(c)(3) since 1967 (EIN 11-6101487), NYS RR086, 4-star Charity Navigator. Limited-admission Manhattan shelter/adoption center (cats + dogs) with behavior intervention + mobile adoption van. Accepts owner surrender via intake form. Not a TNR field group but a major Manhattan adoption + surrender-alternative resource. Verified 2026-08-26.</t>
        </is>
      </c>
      <c r="K102" s="8" t="inlineStr">
        <is>
          <t>High</t>
        </is>
      </c>
      <c r="L102" s="7" t="inlineStr">
        <is>
          <t>https://animalhaven.org/about/visit-us ; https://animalhaven.org/contact-us</t>
        </is>
      </c>
      <c r="M102" s="7" t="inlineStr">
        <is>
          <t>2026-08-26</t>
        </is>
      </c>
    </row>
    <row r="103" ht="78" customHeight="1">
      <c r="A103" s="7" t="inlineStr">
        <is>
          <t>Anjellicle Cats Rescue</t>
        </is>
      </c>
      <c r="B103" s="7" t="inlineStr">
        <is>
          <t>rescue+adoption / TNR</t>
        </is>
      </c>
      <c r="C103" s="7" t="inlineStr">
        <is>
          <t>Manhattan-based; works across the 5 boroughs (foster/TNR)</t>
        </is>
      </c>
      <c r="D103" s="7" t="inlineStr">
        <is>
          <t>Manhattan base; citywide</t>
        </is>
      </c>
      <c r="E103" s="7" t="inlineStr">
        <is>
          <t>646-457-2130</t>
        </is>
      </c>
      <c r="F103" s="7" t="inlineStr">
        <is>
          <t>foster@anjelliclecats.com; adopt@anjelliclecats.com</t>
        </is>
      </c>
      <c r="G103" s="7" t="inlineStr">
        <is>
          <t>https://www.anjelliclecats.com</t>
        </is>
      </c>
      <c r="H103" s="7" t="inlineStr">
        <is>
          <t>Foster/adopt via email; adoption centers: Cat Room @ Spoiled Brats (340 W 49th 10019), Petco 86 (1280 Lexington 10028), Koneko Cat Cafe (26 Clinton St 10002)</t>
        </is>
      </c>
      <c r="I103" s="7" t="inlineStr">
        <is>
          <t>IG @anjelliclecats; PO Box 2084, Radio City Station, NY 10101</t>
        </is>
      </c>
      <c r="J103" s="7" t="inlineStr">
        <is>
          <t>All-volunteer 501(c)(3), founded 20+ yrs ago; one of the most active cat rescues in the 5 boroughs. Pulls sick/injured/'unadoptable' cats from city shelters (ACC), TNR-certified, foster-based. Manhattan adoption centers but works citywide. Re-verified 2026-08-26.</t>
        </is>
      </c>
      <c r="K103" s="8" t="inlineStr">
        <is>
          <t>High</t>
        </is>
      </c>
      <c r="L103" s="7" t="inlineStr">
        <is>
          <t>https://www.anjelliclecats.com/ ; https://www.idealist.org/en/nonprofit/97576440e6b34cb5b0cf339304c3383a-anjellicle-cats-rescue-new-york</t>
        </is>
      </c>
      <c r="M103" s="7" t="inlineStr">
        <is>
          <t>2026-08-26</t>
        </is>
      </c>
    </row>
    <row r="104" ht="123" customHeight="1">
      <c r="A104" s="7" t="inlineStr">
        <is>
          <t>Best Friends Animal Society - NYC (SoHo Lifesaving Center)</t>
        </is>
      </c>
      <c r="B104" s="7" t="inlineStr">
        <is>
          <t>rescue+adoption / spay-neuter (adoption center)</t>
        </is>
      </c>
      <c r="C104" s="7" t="inlineStr">
        <is>
          <t>Manhattan (SoHo) center; all 5 boroughs + Tri-State reach</t>
        </is>
      </c>
      <c r="D104" s="7" t="inlineStr">
        <is>
          <t>10013 + citywide</t>
        </is>
      </c>
      <c r="E104" s="7" t="inlineStr">
        <is>
          <t>(929) 292-8300</t>
        </is>
      </c>
      <c r="F104" s="7" t="inlineStr">
        <is>
          <t>AdoptNYC@bestfriends.org</t>
        </is>
      </c>
      <c r="G104" s="7" t="inlineStr">
        <is>
          <t>https://bestfriends.org/new-york-city</t>
        </is>
      </c>
      <c r="H104" s="7" t="inlineStr">
        <is>
          <t>Cat/dog adoption survey on site; showcases ACC + local-rescue cats</t>
        </is>
      </c>
      <c r="I104" s="7" t="inlineStr">
        <is>
          <t>IG @bestfriendsnyc; 307 W Broadway, NY 10013</t>
        </is>
      </c>
      <c r="J104" s="7" t="inlineStr">
        <is>
          <t>National no-kill org's NYC center; showcases adoptable cats from ACC + local rescues, runs spay/neuter + shelter-support programs. STATUS FLAG (2026): SoHo center CLOSED to public ~June 4-mid-Sept 2026 for Companion Animal Care Act renovations; most cats temporarily at 232 Varet St, Brooklyn 11206 (11am-7pm daily) + foster - confirm current location before visiting. Adoption partner, not a TNR field group. Verified 2026-08-26.</t>
        </is>
      </c>
      <c r="K104" s="8" t="inlineStr">
        <is>
          <t>High</t>
        </is>
      </c>
      <c r="L104" s="7" t="inlineStr">
        <is>
          <t>https://ny.bestfriends.org/adopt ; https://bestfriends.org/new-york-city/who-we-are</t>
        </is>
      </c>
      <c r="M104" s="7" t="inlineStr">
        <is>
          <t>2026-08-26</t>
        </is>
      </c>
    </row>
    <row r="105" ht="108" customHeight="1">
      <c r="A105" s="7" t="inlineStr">
        <is>
          <t>Cat Castle NYC</t>
        </is>
      </c>
      <c r="B105" s="7" t="inlineStr">
        <is>
          <t>rescue+adoption / TNR (neonatal + hard cases)</t>
        </is>
      </c>
      <c r="C105" s="7" t="inlineStr">
        <is>
          <t>Upper Manhattan-based (fosters Manhattan/Bronx); serves all NYC + nearby</t>
        </is>
      </c>
      <c r="D105" s="7" t="inlineStr">
        <is>
          <t>10033 + citywide</t>
        </is>
      </c>
      <c r="E105" s="7" t="inlineStr">
        <is>
          <t>(973) 752-7750</t>
        </is>
      </c>
      <c r="F105" s="7" t="inlineStr"/>
      <c r="G105" s="7" t="inlineStr">
        <is>
          <t>https://catcastlenyc.org</t>
        </is>
      </c>
      <c r="H105" s="7" t="inlineStr">
        <is>
          <t>Adoption application on site; contact via site (no in-person location)</t>
        </is>
      </c>
      <c r="I105" s="7" t="inlineStr">
        <is>
          <t>IG @catcastlenyc; foster homes in Manhattan/Bronx</t>
        </is>
      </c>
      <c r="J105" s="7" t="inlineStr">
        <is>
          <t>501(c)(3) founded 2018, high-volume foster network (30+ cats at once). SPECIALTY: hard cases others won't take + kittens as young as ONE DAY (neonatal) through seniors (16 yrs). Also HELPS OTHER RESCUERS + public with TNR projects, low-cost spay/neuter, and end-of-life services. Explicit non-discrimination adoption policy. Upper-Manhattan based, serves all NYC. Verified 2026-08-26.</t>
        </is>
      </c>
      <c r="K105" s="8" t="inlineStr">
        <is>
          <t>High</t>
        </is>
      </c>
      <c r="L105" s="7" t="inlineStr">
        <is>
          <t>https://catcastlenyc.org/ ; https://www.petfinder.com/member/us/ny/new-york/cat-castle-nyc-ny1467/</t>
        </is>
      </c>
      <c r="M105" s="7" t="inlineStr">
        <is>
          <t>2026-08-26</t>
        </is>
      </c>
    </row>
    <row r="106" ht="78" customHeight="1">
      <c r="A106" s="7" t="inlineStr">
        <is>
          <t>The Animal Project NYC</t>
        </is>
      </c>
      <c r="B106" s="7" t="inlineStr">
        <is>
          <t>TNR / rescue+adoption</t>
        </is>
      </c>
      <c r="C106" s="7" t="inlineStr">
        <is>
          <t>Manhattan (Upper West Side / Washington Heights)</t>
        </is>
      </c>
      <c r="D106" s="7" t="inlineStr">
        <is>
          <t>10024, 10025, 10031, 10032, 10033, 10040</t>
        </is>
      </c>
      <c r="E106" s="7" t="inlineStr"/>
      <c r="F106" s="7" t="inlineStr"/>
      <c r="G106" s="7" t="inlineStr">
        <is>
          <t>https://www.animalprojectnyc.org</t>
        </is>
      </c>
      <c r="H106" s="7" t="inlineStr">
        <is>
          <t>Pre-adoption form: form.jotform.com/201353227523042 ; Sat adoption events 2-6pm at Petco 92nd/Broadway</t>
        </is>
      </c>
      <c r="I106" s="7" t="inlineStr">
        <is>
          <t>IG @animalprojectnyc; FB /AnimalProjectNYC; director Carol Moon</t>
        </is>
      </c>
      <c r="J106" s="7" t="inlineStr">
        <is>
          <t>501(c)(3), volunteer/foster-based, run 15+ yrs by Carol Moon. TNR (~360 spay/neuters/yr) + cat/kitten rescue + adoption (150+/yr), Petco Foundation partner. Manhattan (UWS/Washington Heights). Reach via site form / adoption events / IG. Verified 2026-08-26.</t>
        </is>
      </c>
      <c r="K106" s="8" t="inlineStr">
        <is>
          <t>High</t>
        </is>
      </c>
      <c r="L106" s="7" t="inlineStr">
        <is>
          <t>https://www.animalprojectnyc.org/ ; https://www.petfinder.com/member/us/ny/new-york/the-animal-project-ny714/</t>
        </is>
      </c>
      <c r="M106" s="7" t="inlineStr">
        <is>
          <t>2026-08-26</t>
        </is>
      </c>
    </row>
    <row r="107" ht="78" customHeight="1">
      <c r="A107" s="7" t="inlineStr">
        <is>
          <t>Washington Heights Cat Colony (WaHi Cats)</t>
        </is>
      </c>
      <c r="B107" s="7" t="inlineStr">
        <is>
          <t>TNR / rescue+adoption</t>
        </is>
      </c>
      <c r="C107" s="7" t="inlineStr">
        <is>
          <t>Upper Manhattan (Washington Heights / Inwood)</t>
        </is>
      </c>
      <c r="D107" s="7" t="inlineStr">
        <is>
          <t>10032, 10033, 10034, 10040</t>
        </is>
      </c>
      <c r="E107" s="7" t="inlineStr">
        <is>
          <t>(917) 456-3212</t>
        </is>
      </c>
      <c r="F107" s="7" t="inlineStr">
        <is>
          <t>info@wahicats.org</t>
        </is>
      </c>
      <c r="G107" s="7" t="inlineStr">
        <is>
          <t>https://www.wahicats.org</t>
        </is>
      </c>
      <c r="H107" s="7" t="inlineStr">
        <is>
          <t>Contact via email; volunteer/foster/adopt via site</t>
        </is>
      </c>
      <c r="I107" s="7" t="inlineStr">
        <is>
          <t>IG @wahicats; 521 W 185th St, New York NY</t>
        </is>
      </c>
      <c r="J107" s="7" t="inlineStr">
        <is>
          <t>Small all-volunteer 501(c)(3) TNR group (NYS RR215) in Upper Manhattan. TNR + colony care (food/water/shelter/medical) + adoptable placement + community education. Email + phone confirmed on own listings. Verified 2026-08-26.</t>
        </is>
      </c>
      <c r="K107" s="8" t="inlineStr">
        <is>
          <t>High</t>
        </is>
      </c>
      <c r="L107" s="7" t="inlineStr">
        <is>
          <t>https://www.wahicats.org/ ; https://www.idealist.org/en/nonprofit/e2246af5471f49048717627453877c61-washington-heights-cat-colony-new-york</t>
        </is>
      </c>
      <c r="M107" s="7" t="inlineStr">
        <is>
          <t>2026-08-26</t>
        </is>
      </c>
    </row>
    <row r="108" ht="48" customHeight="1">
      <c r="A108" s="7" t="inlineStr">
        <is>
          <t>City Critters</t>
        </is>
      </c>
      <c r="B108" s="7" t="inlineStr">
        <is>
          <t>rescue+adoption / TNR</t>
        </is>
      </c>
      <c r="C108" s="7" t="inlineStr">
        <is>
          <t>Manhattan-based; serves NYC area, pulls from citywide ACC</t>
        </is>
      </c>
      <c r="D108" s="7" t="inlineStr">
        <is>
          <t>Citywide (Manhattan-primary)</t>
        </is>
      </c>
      <c r="E108" s="7" t="inlineStr"/>
      <c r="F108" s="7" t="inlineStr">
        <is>
          <t>adoptions@citycritters.org</t>
        </is>
      </c>
      <c r="G108" s="7" t="inlineStr">
        <is>
          <t>https://www.citycritters.org</t>
        </is>
      </c>
      <c r="H108" s="7" t="inlineStr">
        <is>
          <t>Adoption application at citycritters.org/adopt</t>
        </is>
      </c>
      <c r="I108" s="7" t="inlineStr">
        <is>
          <t>IG @citycritters; in-person meets PetSmart Flatiron (24th &amp; Broadway)</t>
        </is>
      </c>
      <c r="J108" s="7" t="inlineStr">
        <is>
          <t>Small all-volunteer 501(c)(3) since 1994, no shelter. Cat rescue/adoption + some TNR. Primarily Manhattan - confirm Brooklyn capacity before relying for a BK case.</t>
        </is>
      </c>
      <c r="K108" s="9" t="inlineStr">
        <is>
          <t>Medium</t>
        </is>
      </c>
      <c r="L108" s="7" t="inlineStr">
        <is>
          <t>https://www.citycritters.org/adopt</t>
        </is>
      </c>
      <c r="M108" s="7" t="inlineStr">
        <is>
          <t>2026-08-26</t>
        </is>
      </c>
    </row>
    <row r="109" ht="108" customHeight="1">
      <c r="A109" s="7" t="inlineStr">
        <is>
          <t>Harlem Cats</t>
        </is>
      </c>
      <c r="B109" s="7" t="inlineStr">
        <is>
          <t>TNR / rescue+adoption (volunteer group)</t>
        </is>
      </c>
      <c r="C109" s="7" t="inlineStr">
        <is>
          <t>Upper Manhattan / Harlem</t>
        </is>
      </c>
      <c r="D109" s="7" t="inlineStr">
        <is>
          <t>10026, 10027, 10029, 10030, 10031, 10035, 10037, 10039</t>
        </is>
      </c>
      <c r="E109" s="7" t="inlineStr"/>
      <c r="F109" s="7" t="inlineStr"/>
      <c r="G109" s="7" t="inlineStr">
        <is>
          <t>https://www.harlemcats.com</t>
        </is>
      </c>
      <c r="H109" s="7" t="inlineStr">
        <is>
          <t>Contact via site / Facebook; foster/adopt/donate</t>
        </is>
      </c>
      <c r="I109" s="7" t="inlineStr">
        <is>
          <t>IG @harlemcatsnyc; FB /harlemcats (small volunteer group)</t>
        </is>
      </c>
      <c r="J109" s="7" t="inlineStr">
        <is>
          <t>Small volunteer group trained in TNR feeding + caring for Harlem/Upper Manhattan feral colonies; also rescues friendly strays for foster/adoption. STATUS (2026): their IG says the group is 'on a hiatus while travelling the world' - kept in and worth a message via site/FB, but confirm they're active before relying. Reach via site/FB/IG. Verified 2026-08-26.</t>
        </is>
      </c>
      <c r="K109" s="9" t="inlineStr">
        <is>
          <t>Medium</t>
        </is>
      </c>
      <c r="L109" s="7" t="inlineStr">
        <is>
          <t>https://www.harlemcats.com/ ; https://www.facebook.com/harlemcats/</t>
        </is>
      </c>
      <c r="M109" s="7" t="inlineStr">
        <is>
          <t>2026-08-26</t>
        </is>
      </c>
    </row>
    <row r="110" ht="108" customHeight="1">
      <c r="A110" s="7" t="inlineStr">
        <is>
          <t>KittyKind</t>
        </is>
      </c>
      <c r="B110" s="7" t="inlineStr">
        <is>
          <t>rescue+adoption (Manhattan hub; TNR placement partner)</t>
        </is>
      </c>
      <c r="C110" s="7" t="inlineStr">
        <is>
          <t>Manhattan adoption center (Petco Union Square); accepts adoptable cats citywide from TNR rescuers</t>
        </is>
      </c>
      <c r="D110" s="7" t="inlineStr">
        <is>
          <t>Citywide (Manhattan hub)</t>
        </is>
      </c>
      <c r="E110" s="7" t="inlineStr"/>
      <c r="F110" s="7" t="inlineStr">
        <is>
          <t>adopt@kittykind.org (adoptions); foster@kittykind.org; info@kittykind.org</t>
        </is>
      </c>
      <c r="G110" s="7" t="inlineStr">
        <is>
          <t>https://kittykind.org</t>
        </is>
      </c>
      <c r="H110" s="7" t="inlineStr">
        <is>
          <t>Email adopt@kittykind.org; adoption center Petco Union Square, 860 Broadway / 44 Union Square 10003</t>
        </is>
      </c>
      <c r="I110" s="7" t="inlineStr">
        <is>
          <t>IG @kittykind; adoption center staffed evenings + weekends</t>
        </is>
      </c>
      <c r="J110" s="7" t="inlineStr">
        <is>
          <t>All-volunteer no-kill 501(c)(3) (est. 1999), 400+ cats/yr. Manhattan-based adoption hub - NOT Brooklyn field response - but a key PLACEMENT partner that takes in adoptable friendlies from rescuers' TNR efforts, incl. special-needs/senior cats. Useful downstream when a Brooklyn rescuer needs an adoption channel. Emails confirmed on own site. Verified 2026-08-26.</t>
        </is>
      </c>
      <c r="K110" s="9" t="inlineStr">
        <is>
          <t>Medium</t>
        </is>
      </c>
      <c r="L110" s="7" t="inlineStr">
        <is>
          <t>https://kittykind.org/contact/ ; https://kittykind.org/about/</t>
        </is>
      </c>
      <c r="M110" s="7" t="inlineStr">
        <is>
          <t>2026-08-26</t>
        </is>
      </c>
    </row>
    <row r="111" ht="93" customHeight="1">
      <c r="A111" s="7" t="inlineStr">
        <is>
          <t>Place for Cats</t>
        </is>
      </c>
      <c r="B111" s="7" t="inlineStr">
        <is>
          <t>rescue+adoption (Manhattan-based)</t>
        </is>
      </c>
      <c r="C111" s="7" t="inlineStr">
        <is>
          <t>Manhattan-based, foster-based; adopts citywide - not a Brooklyn field-response group</t>
        </is>
      </c>
      <c r="D111" s="7" t="inlineStr">
        <is>
          <t>Citywide (Manhattan-primary)</t>
        </is>
      </c>
      <c r="E111" s="7" t="inlineStr">
        <is>
          <t>(212) 751-2093</t>
        </is>
      </c>
      <c r="F111" s="7" t="inlineStr"/>
      <c r="G111" s="7" t="inlineStr">
        <is>
          <t>https://placeforcats.org</t>
        </is>
      </c>
      <c r="H111" s="7" t="inlineStr">
        <is>
          <t>Call for appointment; adopter/foster network signup on site</t>
        </is>
      </c>
      <c r="I111" s="7" t="inlineStr">
        <is>
          <t>Appointment-only; foster-based (15-25 cats)</t>
        </is>
      </c>
      <c r="J111" s="7" t="inlineStr">
        <is>
          <t>Small long-running 501(c)(3) (est. 1990, nonprofit 1994), Manhattan-based, foster-based cat rescue/adoption. Not set up for Brooklyn street/colony response - listed as citywide adoption support; confirm Brooklyn capacity before relying. Phone confirmed on own site. Verified 2026-08-26.</t>
        </is>
      </c>
      <c r="K111" s="9" t="inlineStr">
        <is>
          <t>Medium</t>
        </is>
      </c>
      <c r="L111" s="7" t="inlineStr">
        <is>
          <t>https://placeforcats.org/about-us/</t>
        </is>
      </c>
      <c r="M111" s="7" t="inlineStr">
        <is>
          <t>2026-08-26</t>
        </is>
      </c>
    </row>
    <row r="112">
      <c r="A112" s="4" t="inlineStr">
        <is>
          <t>STATEN ISLAND  (Staten Island cat groups)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6" t="n"/>
    </row>
    <row r="113" ht="78" customHeight="1">
      <c r="A113" s="7" t="inlineStr">
        <is>
          <t>Mama Chris Animal Rescue, Inc.</t>
        </is>
      </c>
      <c r="B113" s="7" t="inlineStr">
        <is>
          <t>TNR / rescue+adoption / colony support</t>
        </is>
      </c>
      <c r="C113" s="7" t="inlineStr">
        <is>
          <t>Staten Island community</t>
        </is>
      </c>
      <c r="D113" s="7" t="inlineStr">
        <is>
          <t>Staten Island (10301-10314)</t>
        </is>
      </c>
      <c r="E113" s="7" t="inlineStr">
        <is>
          <t>text 347-983-2240</t>
        </is>
      </c>
      <c r="F113" s="7" t="inlineStr"/>
      <c r="G113" s="7" t="inlineStr">
        <is>
          <t>https://mamachrisrescue.org</t>
        </is>
      </c>
      <c r="H113" s="7" t="inlineStr">
        <is>
          <t>Adoption application on site; colony-caretaker support via text/email</t>
        </is>
      </c>
      <c r="I113" s="7" t="inlineStr">
        <is>
          <t>FB /mamachrisrescue1 (11K); PO Box 70059, Staten Island 10307</t>
        </is>
      </c>
      <c r="J113" s="7" t="inlineStr">
        <is>
          <t>501(c)(3) (EIN 82-3313014), 'every stray is worthy.' TNR of SI feral colonies (pulls friendly cats/kittens to socialize + adopt) + helps caretakers with spay/neuter, resources and support to run their own colonies. Text preferred. Verified 2026-08-26.</t>
        </is>
      </c>
      <c r="K113" s="8" t="inlineStr">
        <is>
          <t>High</t>
        </is>
      </c>
      <c r="L113" s="7" t="inlineStr">
        <is>
          <t>https://mamachrisrescue.org/ ; https://www.guidestar.org/profile/82-3313014</t>
        </is>
      </c>
      <c r="M113" s="7" t="inlineStr">
        <is>
          <t>2026-08-26</t>
        </is>
      </c>
    </row>
    <row r="114" ht="63" customHeight="1">
      <c r="A114" s="7" t="inlineStr">
        <is>
          <t>P.L.U.T.O. Rescue of Richmond County (Pet Lovers United Together as One)</t>
        </is>
      </c>
      <c r="B114" s="7" t="inlineStr">
        <is>
          <t>rescue+adoption / TNR / low-cost spay-neuter</t>
        </is>
      </c>
      <c r="C114" s="7" t="inlineStr">
        <is>
          <t>Staten Island</t>
        </is>
      </c>
      <c r="D114" s="7" t="inlineStr">
        <is>
          <t>Staten Island (10301-10314)</t>
        </is>
      </c>
      <c r="E114" s="7" t="inlineStr">
        <is>
          <t>(718) 227-0553</t>
        </is>
      </c>
      <c r="F114" s="7" t="inlineStr">
        <is>
          <t>plutorescuerc@gmail.com</t>
        </is>
      </c>
      <c r="G114" s="7" t="inlineStr">
        <is>
          <t>https://www.plutorescue.com</t>
        </is>
      </c>
      <c r="H114" s="7" t="inlineStr">
        <is>
          <t>Pre-adopt form + home visit; Sat adoptions 12-3 at Petco 2752 Veterans Rd W 10309</t>
        </is>
      </c>
      <c r="I114" s="7" t="inlineStr">
        <is>
          <t>FB /PLUTO Rescue; PO Box 140889, Staten Island 10314; contact Lisa Rooney</t>
        </is>
      </c>
      <c r="J114" s="7" t="inlineStr">
        <is>
          <t>No-kill 501(c)(3) since 2001. Cats + dogs (strays + owner surrender), full vetting. Runs a LOW-COST SPAY/NEUTER program + supports TNR for feral cats. Phone + email confirmed on own listings. Verified 2026-08-26.</t>
        </is>
      </c>
      <c r="K114" s="8" t="inlineStr">
        <is>
          <t>High</t>
        </is>
      </c>
      <c r="L114" s="7" t="inlineStr">
        <is>
          <t>https://www.plutorescue.com/ ; https://www.adoptapet.com/shelter/78700-pluto-rescue-staten-island-new-york</t>
        </is>
      </c>
      <c r="M114" s="7" t="inlineStr">
        <is>
          <t>2026-08-26</t>
        </is>
      </c>
    </row>
    <row r="115" ht="78" customHeight="1">
      <c r="A115" s="7" t="inlineStr">
        <is>
          <t>Staten Island Council for Animal Welfare (SICAW)</t>
        </is>
      </c>
      <c r="B115" s="7" t="inlineStr">
        <is>
          <t>rescue+adoption / TNR</t>
        </is>
      </c>
      <c r="C115" s="7" t="inlineStr">
        <is>
          <t>Staten Island (serves surrounding boroughs + NJ)</t>
        </is>
      </c>
      <c r="D115" s="7" t="inlineStr">
        <is>
          <t>Staten Island (10301-10314)</t>
        </is>
      </c>
      <c r="E115" s="7" t="inlineStr">
        <is>
          <t>718-948-5623 (Clo)</t>
        </is>
      </c>
      <c r="F115" s="7" t="inlineStr"/>
      <c r="G115" s="7" t="inlineStr">
        <is>
          <t>https://www.sicawsaves.org</t>
        </is>
      </c>
      <c r="H115" s="7" t="inlineStr">
        <is>
          <t>Pre-adoption form: sicawsaves.org/application ; home visit required</t>
        </is>
      </c>
      <c r="I115" s="7" t="inlineStr">
        <is>
          <t>Cats at PetSmart Forest Ave + Petco 165 Bricktown Way; FB/IG @sicaw</t>
        </is>
      </c>
      <c r="J115" s="7" t="inlineStr">
        <is>
          <t>Long-running Staten Island cat rescue (founded 1972), 100% volunteer, donation-funded. Rescue + adoption + TNR; cats viewable at PetSmart Forest Ave &amp; Petco Bricktown Way or foster homes. Home visit required. SI-based, serves surrounding boroughs + NJ. Verified 2026-08-26.</t>
        </is>
      </c>
      <c r="K115" s="8" t="inlineStr">
        <is>
          <t>High</t>
        </is>
      </c>
      <c r="L115" s="7" t="inlineStr">
        <is>
          <t>https://www.sicawsaves.org/ ; https://www.adoptapet.com/shelter/83487-staten-island-council-for-animal-welfare-staten-island-new-york</t>
        </is>
      </c>
      <c r="M115" s="7" t="inlineStr">
        <is>
          <t>2026-08-26</t>
        </is>
      </c>
    </row>
    <row r="116" ht="93" customHeight="1">
      <c r="A116" s="7" t="inlineStr">
        <is>
          <t>Staten Island Hope Animal Rescue</t>
        </is>
      </c>
      <c r="B116" s="7" t="inlineStr">
        <is>
          <t>rescue+adoption / TNR</t>
        </is>
      </c>
      <c r="C116" s="7" t="inlineStr">
        <is>
          <t>Staten Island (serves other NYC areas when needed)</t>
        </is>
      </c>
      <c r="D116" s="7" t="inlineStr">
        <is>
          <t>Staten Island (10301-10314)</t>
        </is>
      </c>
      <c r="E116" s="7" t="inlineStr">
        <is>
          <t>1-800-477-9168</t>
        </is>
      </c>
      <c r="F116" s="7" t="inlineStr">
        <is>
          <t>info@statenislandhoperescue.org</t>
        </is>
      </c>
      <c r="G116" s="7" t="inlineStr">
        <is>
          <t>https://www.statenislandhopeanimalrescue.org</t>
        </is>
      </c>
      <c r="H116" s="7" t="inlineStr">
        <is>
          <t>Adoption application on site; weekend pet-store adoption events</t>
        </is>
      </c>
      <c r="I116" s="7" t="inlineStr">
        <is>
          <t>FB/Twitter @SIHopeRescue; PO Box 30351, Staten Island NY 10303</t>
        </is>
      </c>
      <c r="J116" s="7" t="inlineStr">
        <is>
          <t>Foster-based 501(c)(3) (EIN 27-2122819). Rescue + placement of abused/abandoned/disabled cats (+other animals) + TNRV; works with city animal control to save euthanasia-risk cats. SI-primary, extends to other NYC areas when necessary. Phone + email confirmed on own site. Verified 2026-08-26.</t>
        </is>
      </c>
      <c r="K116" s="8" t="inlineStr">
        <is>
          <t>High</t>
        </is>
      </c>
      <c r="L116" s="7" t="inlineStr">
        <is>
          <t>https://www.statenislandhopeanimalrescue.org/ ; https://www.guidestar.org/profile/27-2122819</t>
        </is>
      </c>
      <c r="M116" s="7" t="inlineStr">
        <is>
          <t>2026-08-26</t>
        </is>
      </c>
    </row>
    <row r="117" ht="78" customHeight="1">
      <c r="A117" s="7" t="inlineStr">
        <is>
          <t>Strays Hope for Life Rescue</t>
        </is>
      </c>
      <c r="B117" s="7" t="inlineStr">
        <is>
          <t>rescue+adoption (sick/injured focus)</t>
        </is>
      </c>
      <c r="C117" s="7" t="inlineStr">
        <is>
          <t>Staten Island (fosters in SI/Brooklyn/Queens/LI); adopts tri-state</t>
        </is>
      </c>
      <c r="D117" s="7" t="inlineStr">
        <is>
          <t>10306, 10308 + tri-state</t>
        </is>
      </c>
      <c r="E117" s="7" t="inlineStr">
        <is>
          <t>(908) 986-2505</t>
        </is>
      </c>
      <c r="F117" s="7" t="inlineStr">
        <is>
          <t>strayshopeforlife@gmail.com; adoptshfl@outlook.com</t>
        </is>
      </c>
      <c r="G117" s="7" t="inlineStr">
        <is>
          <t>https://strayshopeforliferescue.org</t>
        </is>
      </c>
      <c r="H117" s="7" t="inlineStr">
        <is>
          <t>Adoption application on site; visits by appointment only</t>
        </is>
      </c>
      <c r="I117" s="7" t="inlineStr">
        <is>
          <t>IG @strayshopeforlife; FB /strayshopeforlife</t>
        </is>
      </c>
      <c r="J117" s="7" t="inlineStr">
        <is>
          <t>Small foster-based 501(c)(3) on Staten Island. Takes in stray/abandoned cats + kittens indiscriminately - 'sick, bruised, or broken' - and vets them for adoption. Fosters across SI/Brooklyn/Queens/LI. Phone + emails confirmed on own site. Verified 2026-08-26.</t>
        </is>
      </c>
      <c r="K117" s="8" t="inlineStr">
        <is>
          <t>High</t>
        </is>
      </c>
      <c r="L117" s="7" t="inlineStr">
        <is>
          <t>https://strayshopeforliferescue.org/contact-us ; https://www.petfinder.com/member/us/ny/staten-island/strays-hope-for-life-ny1423/</t>
        </is>
      </c>
      <c r="M117" s="7" t="inlineStr">
        <is>
          <t>2026-08-26</t>
        </is>
      </c>
    </row>
    <row r="118" ht="93" customHeight="1">
      <c r="A118" s="7" t="inlineStr">
        <is>
          <t>Victory 4 the Voiceless Animal Rescue, Inc.</t>
        </is>
      </c>
      <c r="B118" s="7" t="inlineStr">
        <is>
          <t>TNR / rescue+adoption</t>
        </is>
      </c>
      <c r="C118" s="7" t="inlineStr">
        <is>
          <t>Staten Island</t>
        </is>
      </c>
      <c r="D118" s="7" t="inlineStr">
        <is>
          <t>Staten Island (10301-10314)</t>
        </is>
      </c>
      <c r="E118" s="7" t="inlineStr"/>
      <c r="F118" s="7" t="inlineStr">
        <is>
          <t>victory4thevoiceless@gmail.com; adoptvictory4thevoiceless@gmail.com (adoptions)</t>
        </is>
      </c>
      <c r="G118" s="7" t="inlineStr">
        <is>
          <t>https://www.victory4thevoiceless.com</t>
        </is>
      </c>
      <c r="H118" s="7" t="inlineStr">
        <is>
          <t>Contact via email; adoption application on site</t>
        </is>
      </c>
      <c r="I118" s="7" t="inlineStr">
        <is>
          <t>FB /Victory4thevoiceless; PO Box 61544, Staten Island NY 10306</t>
        </is>
      </c>
      <c r="J118" s="7" t="inlineStr">
        <is>
          <t>Volunteer-based no-kill 501(c)(3) (EIN 47-1251216); all lead members TNR-certified with 10+ yrs experience (formed from the SI Abandoned Cats hoarding rescue). TNR + rescue + adoption, cats &amp; dogs, FIV+/special-needs cats vetted. Email confirmed on own listings. Verified 2026-08-26.</t>
        </is>
      </c>
      <c r="K118" s="8" t="inlineStr">
        <is>
          <t>High</t>
        </is>
      </c>
      <c r="L118" s="7" t="inlineStr">
        <is>
          <t>https://www.victory4thevoiceless.com/contact ; https://www.guidestar.org/profile/47-1251216</t>
        </is>
      </c>
      <c r="M118" s="7" t="inlineStr">
        <is>
          <t>2026-08-26</t>
        </is>
      </c>
    </row>
    <row r="119" ht="93" customHeight="1">
      <c r="A119" s="7" t="inlineStr">
        <is>
          <t>For Blake's Sake Rescue, Inc.</t>
        </is>
      </c>
      <c r="B119" s="7" t="inlineStr">
        <is>
          <t>rescue+adoption (cats + dogs, special-needs friendly)</t>
        </is>
      </c>
      <c r="C119" s="7" t="inlineStr">
        <is>
          <t>Staten Island (adopts within ~4-hr driving radius)</t>
        </is>
      </c>
      <c r="D119" s="7" t="inlineStr">
        <is>
          <t>10303 + regional</t>
        </is>
      </c>
      <c r="E119" s="7" t="inlineStr">
        <is>
          <t>(732) 413-5006</t>
        </is>
      </c>
      <c r="F119" s="7" t="inlineStr">
        <is>
          <t>forblakessakerescue@gmail.com</t>
        </is>
      </c>
      <c r="G119" s="7" t="inlineStr">
        <is>
          <t>https://sites.google.com/ps69dolphins.com/forblakessake/home</t>
        </is>
      </c>
      <c r="H119" s="7" t="inlineStr">
        <is>
          <t>Adoption via Petfinder (member NY1488); contact by email/phone</t>
        </is>
      </c>
      <c r="I119" s="7" t="inlineStr">
        <is>
          <t>IG @forblakessakerescue; FB /forblakessakerescueinc; 496a Lisk Ave, SI 10303</t>
        </is>
      </c>
      <c r="J119" s="7" t="inlineStr">
        <is>
          <t>Volunteer 501(c)(3) (EIN 83-2992337, NYS 2018), youth-involved, 'judgment-free.' Rescues cats + dogs incl. special-needs (e.g. blind cats). DISAMBIGUATION: a separate DOG-ONLY 'For Blake's Sake Rescue' exists at forblakessake.org - this SI cat-inclusive one is the ps69dolphins.com/Petfinder NY1488 entity. Verified 2026-08-26.</t>
        </is>
      </c>
      <c r="K119" s="9" t="inlineStr">
        <is>
          <t>Medium</t>
        </is>
      </c>
      <c r="L119" s="7" t="inlineStr">
        <is>
          <t>https://www.petfinder.com/member/us/ny/staten-island/for-blakes-sake-rescue-inc-ny1488/ ; https://www.guidestar.org/profile/83-2992337</t>
        </is>
      </c>
      <c r="M119" s="7" t="inlineStr">
        <is>
          <t>2026-08-26</t>
        </is>
      </c>
    </row>
    <row r="120" ht="78" customHeight="1">
      <c r="A120" s="7" t="inlineStr">
        <is>
          <t>Happy Homes Animal Rescue, Inc.</t>
        </is>
      </c>
      <c r="B120" s="7" t="inlineStr">
        <is>
          <t>TNR / rescue+adoption</t>
        </is>
      </c>
      <c r="C120" s="7" t="inlineStr">
        <is>
          <t>Staten Island + Old Bridge/East Brunswick NJ (foster network)</t>
        </is>
      </c>
      <c r="D120" s="7" t="inlineStr">
        <is>
          <t>SI 10309 + NJ</t>
        </is>
      </c>
      <c r="E120" s="7" t="inlineStr">
        <is>
          <t>914-393-8292</t>
        </is>
      </c>
      <c r="F120" s="7" t="inlineStr"/>
      <c r="G120" s="7" t="inlineStr">
        <is>
          <t>https://happyhomesinc.org</t>
        </is>
      </c>
      <c r="H120" s="7" t="inlineStr">
        <is>
          <t>Adoption app: happyhomesinc.org (+ formsite link); by appointment + weekend events</t>
        </is>
      </c>
      <c r="I120" s="7" t="inlineStr">
        <is>
          <t>IG/FB @happyhomesrescue; SI habitat: Petco 165 Bricktown Way 10309 (Sun)</t>
        </is>
      </c>
      <c r="J120" s="7" t="inlineStr">
        <is>
          <t>Foster-based rescue spanning Staten Island + central NJ (Old Bridge/East Brunswick). Reduces shelter euthanasia + street TNR + community spay/neuter education. Cats viewable at the SI Petco habitat + NJ Petco/PetSmart events. Verified 2026-08-26.</t>
        </is>
      </c>
      <c r="K120" s="9" t="inlineStr">
        <is>
          <t>Medium</t>
        </is>
      </c>
      <c r="L120" s="7" t="inlineStr">
        <is>
          <t>https://happyhomesinc.org/ ; https://www.happyhomesinc.org/adopt</t>
        </is>
      </c>
      <c r="M120" s="7" t="inlineStr">
        <is>
          <t>2026-08-26</t>
        </is>
      </c>
    </row>
    <row r="121">
      <c r="A121" s="4" t="inlineStr">
        <is>
          <t>SPAY/NEUTER &amp; RESCUE CLINICS + MUNICIPAL SUPPORT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6" t="n"/>
    </row>
    <row r="122" ht="93" customHeight="1">
      <c r="A122" s="7" t="inlineStr">
        <is>
          <t>ASPCA Animal Poison Control Center (APCC) - 24/7 HOTLINE</t>
        </is>
      </c>
      <c r="B122" s="7" t="inlineStr">
        <is>
          <t>poison control hotline (emergency, 24/7)</t>
        </is>
      </c>
      <c r="C122" s="7" t="inlineStr">
        <is>
          <t>National hotline (use from anywhere, any hour)</t>
        </is>
      </c>
      <c r="D122" s="7" t="inlineStr">
        <is>
          <t>N/A - phone hotline</t>
        </is>
      </c>
      <c r="E122" s="7" t="inlineStr">
        <is>
          <t>(888) 426-4435</t>
        </is>
      </c>
      <c r="F122" s="7" t="inlineStr"/>
      <c r="G122" s="7" t="inlineStr">
        <is>
          <t>https://www.aspca.org/pet-care/aspca-poison-control</t>
        </is>
      </c>
      <c r="H122" s="7" t="inlineStr">
        <is>
          <t>Call 24/7/365. If a cat ate/contacted something toxic, call BEFORE inducing anything.</t>
        </is>
      </c>
      <c r="I122" s="7" t="inlineStr">
        <is>
          <t>Consultation fee may apply (~$95; waived w/ HomeAgain-enrolled microchip)</t>
        </is>
      </c>
      <c r="J122" s="7" t="inlineStr">
        <is>
          <t>THE call for a suspected poisoning/toxin ingestion (lilies, meds, antifreeze, rodenticide, etc.) - staffed 24/7 by vet toxicologists who guide you AND your ER vet with a treatment plan. Lilies are deadly to cats even in tiny amounts. Then go to a 24hr ER (see Emergency tab). Verified 2026-08-26.</t>
        </is>
      </c>
      <c r="K122" s="8" t="inlineStr">
        <is>
          <t>High</t>
        </is>
      </c>
      <c r="L122" s="7" t="inlineStr">
        <is>
          <t>https://www.aspca.org/pet-care/aspca-poison-control ; https://www.animalalliancenyc.org/need-help/pet-poisoning/</t>
        </is>
      </c>
      <c r="M122" s="7" t="inlineStr">
        <is>
          <t>2026-08-26</t>
        </is>
      </c>
    </row>
    <row r="123" ht="183" customHeight="1">
      <c r="A123" s="7" t="inlineStr">
        <is>
          <t>ASPCA Community Veterinary Clinic - Brooklyn (East New York)</t>
        </is>
      </c>
      <c r="B123" s="7" t="inlineStr">
        <is>
          <t>spay-neuter clinic (support)</t>
        </is>
      </c>
      <c r="C123" s="7" t="inlineStr">
        <is>
          <t>Brooklyn clinic (East New York) + citywide mobile/waitlist</t>
        </is>
      </c>
      <c r="D123" s="7" t="inlineStr">
        <is>
          <t>Mobile TNR: 11203, 11210, 11225, 11226, 11234, 11236, 11239 (varies)</t>
        </is>
      </c>
      <c r="E123" s="7" t="inlineStr">
        <is>
          <t>(844) 692-7722 (mobile clinic)</t>
        </is>
      </c>
      <c r="F123" s="7" t="inlineStr"/>
      <c r="G123" s="7" t="inlineStr">
        <is>
          <t>https://clinic.aspca.org/locations/new-york-city</t>
        </is>
      </c>
      <c r="H123" s="7" t="inlineStr">
        <is>
          <t>Rescuer services (RSS): https://www.aspca.org/nyc/spay-neuter-services/rescue-professionals ; owners join Same-Day Waitlist</t>
        </is>
      </c>
      <c r="I123" s="7" t="inlineStr">
        <is>
          <t>Community clinic in East New York, Brooklyn</t>
        </is>
      </c>
      <c r="J123" s="7" t="inlineStr">
        <is>
          <t>KEEP + REACH OUT even though status is limited: As of 2026 the ASPCA is NOT accepting NEW rescue clients (their words: 'look forward to opening to new groups in the future') - existing rescue clients still use the online RSS scheduler. The East New York clinic does wellness/vaccines by appt for eligible low-income owners (proof of public assistance + in-zip); spay/neuter for the public now runs via the MOBILE clinic + 6am-day-of virtual waitlist (Brooklyn zips 11203/11210/11225/11226/11234/11236/11239). Trap/equipment rental pickup at East New York, $50 refundable deposit, 14-day loan. Capacity limited by staffing. Re-verified 2026-08-26.</t>
        </is>
      </c>
      <c r="K123" s="8" t="inlineStr">
        <is>
          <t>High</t>
        </is>
      </c>
      <c r="L123" s="7" t="inlineStr">
        <is>
          <t>https://clinic.aspca.org/locations/new-york-city</t>
        </is>
      </c>
      <c r="M123" s="7" t="inlineStr">
        <is>
          <t>2026-08-26</t>
        </is>
      </c>
    </row>
    <row r="124" ht="93" customHeight="1">
      <c r="A124" s="7" t="inlineStr">
        <is>
          <t>ASPCA Spay/Neuter - NYC (Same-Day Waitlist + mobile + clinics)</t>
        </is>
      </c>
      <c r="B124" s="7" t="inlineStr">
        <is>
          <t>spay-neuter clinic (support, all boroughs)</t>
        </is>
      </c>
      <c r="C124" s="7" t="inlineStr">
        <is>
          <t>All 5 boroughs (mobile vans + stationary clinics in designated zips)</t>
        </is>
      </c>
      <c r="D124" s="7" t="inlineStr">
        <is>
          <t>Citywide</t>
        </is>
      </c>
      <c r="E124" s="7" t="inlineStr">
        <is>
          <t>(212) 330-0033; 877-SPAY-NYC</t>
        </is>
      </c>
      <c r="F124" s="7" t="inlineStr">
        <is>
          <t>clientservices@aspca.org; TNRtrapbank@aspca.org (trap bank)</t>
        </is>
      </c>
      <c r="G124" s="7" t="inlineStr">
        <is>
          <t>https://clinic.aspca.org/locations/new-york-city</t>
        </is>
      </c>
      <c r="H124" s="7" t="inlineStr">
        <is>
          <t>Public: join the Same-Day Waitlist at clinic.aspca.org. TNR: register via Rescuer Services Scheduler (aspcapro.org/scheduler)</t>
        </is>
      </c>
      <c r="I124" s="7" t="inlineStr">
        <is>
          <t>Income-qualifying residents pay $0 with proof of assistance</t>
        </is>
      </c>
      <c r="J124" s="7" t="inlineStr">
        <is>
          <t>Free/low-cost spay/neuter for cats + dogs across all 5 boroughs. Community-cat package (rabies, tattoo, nail trim, eartip) free for Certified TNR Caretakers via RSS; public via Same-Day Waitlist. Also free trap-bank + transport for registered rescuers. High demand - capacity limited. Verified 2026-08-26.</t>
        </is>
      </c>
      <c r="K124" s="8" t="inlineStr">
        <is>
          <t>High</t>
        </is>
      </c>
      <c r="L124" s="7" t="inlineStr">
        <is>
          <t>https://clinic.aspca.org/locations/new-york-city ; https://www.nyc.gov/site/doh/health/health-topics/low-cost-spay-and-neuter-clinics.page</t>
        </is>
      </c>
      <c r="M124" s="7" t="inlineStr">
        <is>
          <t>2026-08-26</t>
        </is>
      </c>
    </row>
    <row r="125" ht="153" customHeight="1">
      <c r="A125" s="7" t="inlineStr">
        <is>
          <t>Animal Care Centers of NYC (ACC) - Brooklyn</t>
        </is>
      </c>
      <c r="B125" s="7" t="inlineStr">
        <is>
          <t>referral hub / municipal shelter (support)</t>
        </is>
      </c>
      <c r="C125" s="7" t="inlineStr">
        <is>
          <t>All 5 boroughs (system-wide); NOTE Brooklyn physical center closed for renovation</t>
        </is>
      </c>
      <c r="D125" s="7" t="inlineStr">
        <is>
          <t>Citywide</t>
        </is>
      </c>
      <c r="E125" s="7" t="inlineStr">
        <is>
          <t>(212) 788-4000 (also 311)</t>
        </is>
      </c>
      <c r="F125" s="7" t="inlineStr">
        <is>
          <t>CommunityPets@nycacc.org (keep-your-pet resources)</t>
        </is>
      </c>
      <c r="G125" s="7" t="inlineStr">
        <is>
          <t>https://www.nycacc.org</t>
        </is>
      </c>
      <c r="H125" s="7" t="inlineStr">
        <is>
          <t>Surrender BY APPOINTMENT only via (212) 788-4000; New Hope partner list: https://www.nycacc.org/get-involved/new-hope/nhpartners</t>
        </is>
      </c>
      <c r="I125" s="7" t="inlineStr">
        <is>
          <t>Brooklyn ACC: 2336 Linden Blvd 11208 (CLOSED for renovation, reopening ~2026/2027); open centers: Manhattan (326 E 110th St), Staten Island (3139 Veterans Rd W)</t>
        </is>
      </c>
      <c r="J125" s="7" t="inlineStr">
        <is>
          <t>Open-admission municipal shelter (501(c)(3)), 25,000+ animals/yr, 200+ New Hope rescue partners. IMPORTANT (re-verified 2026-08-26): the BROOKLYN center is CLOSED for a full renovation (intakes/adoptions there ended July 2024) - use the phone line, other-borough centers, or online tools, not the Linden Blvd building. System-wide services (surrender-by-appt, keep-your-pet resources: free/reduced vet, deferred intake, DV/hospitalization help, New Hope placement) still fully operating. The safety net / surrender-avoidance referral.</t>
        </is>
      </c>
      <c r="K125" s="8" t="inlineStr">
        <is>
          <t>High</t>
        </is>
      </c>
      <c r="L125" s="7" t="inlineStr">
        <is>
          <t>https://www.nycacc.org/locations-and-hours/ ; https://www.nycacc.org/services/surrender/</t>
        </is>
      </c>
      <c r="M125" s="7" t="inlineStr">
        <is>
          <t>2026-08-26</t>
        </is>
      </c>
    </row>
    <row r="126" ht="78" customHeight="1">
      <c r="A126" s="7" t="inlineStr">
        <is>
          <t>Faithful Friends Animal Hospital (feral spay/neuter)</t>
        </is>
      </c>
      <c r="B126" s="7" t="inlineStr">
        <is>
          <t>spay-neuter clinic (support)</t>
        </is>
      </c>
      <c r="C126" s="7" t="inlineStr">
        <is>
          <t>Brooklyn (clinic in Gravesend/Midwood); Certified TNR Caretakers</t>
        </is>
      </c>
      <c r="D126" s="7" t="inlineStr">
        <is>
          <t>11223 (clinic)</t>
        </is>
      </c>
      <c r="E126" s="7" t="inlineStr">
        <is>
          <t>(718) 339-7387</t>
        </is>
      </c>
      <c r="F126" s="7" t="inlineStr"/>
      <c r="G126" s="7" t="inlineStr">
        <is>
          <t>https://faithfulfriendsny.com</t>
        </is>
      </c>
      <c r="H126" s="7" t="inlineStr">
        <is>
          <t>Call to schedule; low-cost feral/stray spay/neuter for Certified TNR Caretakers</t>
        </is>
      </c>
      <c r="I126" s="7" t="inlineStr">
        <is>
          <t>2455 McDonald Avenue, Brooklyn NY 11223</t>
        </is>
      </c>
      <c r="J126" s="7" t="inlineStr">
        <is>
          <t>Private Brooklyn vet hospital offering DISCOUNTED spay/neuter + related services for feral/stray cats to Certified TNR Caretakers (per Bideawee FCI's provider list). Confirm current pricing/eligibility when booking. Verified 2026-08-26.</t>
        </is>
      </c>
      <c r="K126" s="8" t="inlineStr">
        <is>
          <t>High</t>
        </is>
      </c>
      <c r="L126" s="7" t="inlineStr">
        <is>
          <t>https://www.bideawee.org/programs/feral-cat-initiative/colony-care/spay-neuter-vet-care/spay-neuter/</t>
        </is>
      </c>
      <c r="M126" s="7" t="inlineStr">
        <is>
          <t>2026-08-26</t>
        </is>
      </c>
    </row>
    <row r="127" ht="93" customHeight="1">
      <c r="A127" s="7" t="inlineStr">
        <is>
          <t>Flatbush Vet (nonprofit clinic, by Flatbush Cats)</t>
        </is>
      </c>
      <c r="B127" s="7" t="inlineStr">
        <is>
          <t>spay-neuter clinic (support)</t>
        </is>
      </c>
      <c r="C127" s="7" t="inlineStr">
        <is>
          <t>Brooklyn-wide: low-income pet owners + rescue/TNR volunteers across Brooklyn</t>
        </is>
      </c>
      <c r="D127" s="7" t="inlineStr">
        <is>
          <t>Clinic 11210; serves all Brooklyn</t>
        </is>
      </c>
      <c r="E127" s="7" t="inlineStr"/>
      <c r="F127" s="7" t="inlineStr">
        <is>
          <t>contact@flatbushvet.org</t>
        </is>
      </c>
      <c r="G127" s="7" t="inlineStr">
        <is>
          <t>https://flatbushvet.org</t>
        </is>
      </c>
      <c r="H127" s="7" t="inlineStr">
        <is>
          <t>Online scheduler (separate Rescuer scheduler at flatbushvet.org/rescuer/); email contact@ re: subsidized options</t>
        </is>
      </c>
      <c r="I127" s="7" t="inlineStr">
        <is>
          <t>1460 Flatbush Avenue, Brooklyn NY 11210</t>
        </is>
      </c>
      <c r="J127" s="7" t="inlineStr">
        <is>
          <t>High-volume nonprofit spay/neuter + preventative wellness clinic (cats &amp; dogs), 7,500+ surgeries/yr, open to rescue/TNR volunteers ALL over Brooklyn (broader than Flatbush Cats' own TNR service zips). Handles unhandleable cats in traps ($60+), sedated exams, low-cost end-of-life. NOT full-service/emergency. Re-verified 2026-08-26.</t>
        </is>
      </c>
      <c r="K127" s="8" t="inlineStr">
        <is>
          <t>High</t>
        </is>
      </c>
      <c r="L127" s="7" t="inlineStr">
        <is>
          <t>https://flatbushvet.org/rescuer/ ; https://flatbushvet.org/services/</t>
        </is>
      </c>
      <c r="M127" s="7" t="inlineStr">
        <is>
          <t>2026-08-26</t>
        </is>
      </c>
    </row>
    <row r="128" ht="78" customHeight="1">
      <c r="A128" s="7" t="inlineStr">
        <is>
          <t>Friends of Animals - Spay/Neuter Certificates</t>
        </is>
      </c>
      <c r="B128" s="7" t="inlineStr">
        <is>
          <t>spay-neuter certificate program (support, nationwide/NYC)</t>
        </is>
      </c>
      <c r="C128" s="7" t="inlineStr">
        <is>
          <t>NYC + nationwide via participating vets (use for feral-friendly clinics)</t>
        </is>
      </c>
      <c r="D128" s="7" t="inlineStr">
        <is>
          <t>Citywide via certificates</t>
        </is>
      </c>
      <c r="E128" s="7" t="inlineStr">
        <is>
          <t>1-800-321-PETS</t>
        </is>
      </c>
      <c r="F128" s="7" t="inlineStr"/>
      <c r="G128" s="7" t="inlineStr">
        <is>
          <t>https://friendsofanimals.org</t>
        </is>
      </c>
      <c r="H128" s="7" t="inlineStr">
        <is>
          <t>Buy discounted spay/neuter certificates online, redeem at participating vets (cross-ref their Feral-Friendly Vet list)</t>
        </is>
      </c>
      <c r="I128" s="7" t="inlineStr">
        <is>
          <t>Cat spay ~$65 / cat neuter ~$51 certificates</t>
        </is>
      </c>
      <c r="J128" s="7" t="inlineStr">
        <is>
          <t>Sells low-cost spay/neuter CERTIFICATES redeemable at participating vets - useful when ASPCA/Toby/HSNY appointments are booked. IMPORTANT for feral cats: only use a clinic experienced with ferals (their Feral-Friendly Veterinarians page). Verified 2026-08-26.</t>
        </is>
      </c>
      <c r="K128" s="8" t="inlineStr">
        <is>
          <t>High</t>
        </is>
      </c>
      <c r="L128" s="7" t="inlineStr">
        <is>
          <t>https://www.bideawee.org/programs/feral-cat-initiative/colony-care/spay-neuter-vet-care/spay-neuter/</t>
        </is>
      </c>
      <c r="M128" s="7" t="inlineStr">
        <is>
          <t>2026-08-26</t>
        </is>
      </c>
    </row>
    <row r="129" ht="63" customHeight="1">
      <c r="A129" s="7" t="inlineStr">
        <is>
          <t>Humane Society of New York (HSNY)</t>
        </is>
      </c>
      <c r="B129" s="7" t="inlineStr">
        <is>
          <t>spay-neuter clinic (support)</t>
        </is>
      </c>
      <c r="C129" s="7" t="inlineStr">
        <is>
          <t>Citywide (clinic in Manhattan); community-cat spay/neuter for all boroughs</t>
        </is>
      </c>
      <c r="D129" s="7" t="inlineStr">
        <is>
          <t>Citywide (clinic 10022)</t>
        </is>
      </c>
      <c r="E129" s="7" t="inlineStr">
        <is>
          <t>(212) 752-4840</t>
        </is>
      </c>
      <c r="F129" s="7" t="inlineStr"/>
      <c r="G129" s="7" t="inlineStr">
        <is>
          <t>https://www.humanesocietyny.org</t>
        </is>
      </c>
      <c r="H129" s="7" t="inlineStr">
        <is>
          <t>Call to schedule; sign-in 8:30-9:30am day of surgery</t>
        </is>
      </c>
      <c r="I129" s="7" t="inlineStr">
        <is>
          <t>306 East 59th Street, New York, NY 10022</t>
        </is>
      </c>
      <c r="J129" s="7" t="inlineStr">
        <is>
          <t>Free spay/neuter for community cats + left eartip, rabies, flea/ear-mite meds. Each cat must arrive in a separate covered trap - no exceptions. No post-surgery boarding. Verify appt availability.</t>
        </is>
      </c>
      <c r="K129" s="8" t="inlineStr">
        <is>
          <t>High</t>
        </is>
      </c>
      <c r="L129" s="7" t="inlineStr">
        <is>
          <t>https://www.bideawee.org/programs/feral-cat-initiative/colony-care/spay-neuter-vet-care/spay-neuter/nonprofit-spay-neuter-providers/</t>
        </is>
      </c>
      <c r="M129" s="7" t="inlineStr">
        <is>
          <t>2026-08-26</t>
        </is>
      </c>
    </row>
    <row r="130" ht="63" customHeight="1">
      <c r="A130" s="7" t="inlineStr">
        <is>
          <t>NYC Health Dept - Low-Cost Spay/Neuter (APCP)</t>
        </is>
      </c>
      <c r="B130" s="7" t="inlineStr">
        <is>
          <t>municipal spay-neuter program (support)</t>
        </is>
      </c>
      <c r="C130" s="7" t="inlineStr">
        <is>
          <t>All 5 boroughs (contracted through ASPCA, designated zips)</t>
        </is>
      </c>
      <c r="D130" s="7" t="inlineStr">
        <is>
          <t>Citywide</t>
        </is>
      </c>
      <c r="E130" s="7" t="inlineStr">
        <is>
          <t>311</t>
        </is>
      </c>
      <c r="F130" s="7" t="inlineStr"/>
      <c r="G130" s="7" t="inlineStr">
        <is>
          <t>https://www.nyc.gov/site/doh/health/health-topics/low-cost-spay-and-neuter-clinics.page</t>
        </is>
      </c>
      <c r="H130" s="7" t="inlineStr">
        <is>
          <t>NYC DOHMH Animal Population Control Program - free/low-cost s/n via ASPCA mobile/clinics; call 311 or see page</t>
        </is>
      </c>
      <c r="I130" s="7" t="inlineStr">
        <is>
          <t>Official city resource list (updates as providers change)</t>
        </is>
      </c>
      <c r="J130" s="7" t="inlineStr">
        <is>
          <t>NYC's official low-cost spay/neuter resource page (Animal Population Control Program funds the ASPCA-contracted services). Good authoritative starting point + lists additional providers. Verified 2026-08-26.</t>
        </is>
      </c>
      <c r="K130" s="8" t="inlineStr">
        <is>
          <t>High</t>
        </is>
      </c>
      <c r="L130" s="7" t="inlineStr">
        <is>
          <t>https://www.nyc.gov/site/doh/health/health-topics/low-cost-spay-and-neuter-clinics.page</t>
        </is>
      </c>
      <c r="M130" s="7" t="inlineStr">
        <is>
          <t>2026-08-26</t>
        </is>
      </c>
    </row>
    <row r="131" ht="78" customHeight="1">
      <c r="A131" s="7" t="inlineStr">
        <is>
          <t>Park Slope Veterinary Center (feral spay/neuter)</t>
        </is>
      </c>
      <c r="B131" s="7" t="inlineStr">
        <is>
          <t>spay-neuter clinic (support)</t>
        </is>
      </c>
      <c r="C131" s="7" t="inlineStr">
        <is>
          <t>Brooklyn (clinic in Gowanus/Park Slope); Certified TNR Caretakers</t>
        </is>
      </c>
      <c r="D131" s="7" t="inlineStr">
        <is>
          <t>11232 (clinic)</t>
        </is>
      </c>
      <c r="E131" s="7" t="inlineStr">
        <is>
          <t>(718) 369-7387</t>
        </is>
      </c>
      <c r="F131" s="7" t="inlineStr"/>
      <c r="G131" s="7" t="inlineStr">
        <is>
          <t>https://www.parkslopevetcenter.com</t>
        </is>
      </c>
      <c r="H131" s="7" t="inlineStr">
        <is>
          <t>Call to schedule; low-cost feral/stray spay/neuter for Certified TNR Caretakers</t>
        </is>
      </c>
      <c r="I131" s="7" t="inlineStr">
        <is>
          <t>639 4th Avenue, Brooklyn NY 11232</t>
        </is>
      </c>
      <c r="J131" s="7" t="inlineStr">
        <is>
          <t>Private Brooklyn vet center offering DISCOUNTED spay/neuter + related services for feral/stray cats to Certified TNR Caretakers (per Bideawee FCI's provider list). Confirm current pricing/eligibility when booking. Verified 2026-08-26.</t>
        </is>
      </c>
      <c r="K131" s="8" t="inlineStr">
        <is>
          <t>High</t>
        </is>
      </c>
      <c r="L131" s="7" t="inlineStr">
        <is>
          <t>https://www.bideawee.org/programs/feral-cat-initiative/colony-care/spay-neuter-vet-care/spay-neuter/</t>
        </is>
      </c>
      <c r="M131" s="7" t="inlineStr">
        <is>
          <t>2026-08-26</t>
        </is>
      </c>
    </row>
    <row r="132" ht="63" customHeight="1">
      <c r="A132" s="7" t="inlineStr">
        <is>
          <t>Pet Poison Helpline - 24/7 HOTLINE</t>
        </is>
      </c>
      <c r="B132" s="7" t="inlineStr">
        <is>
          <t>poison control hotline (emergency, 24/7)</t>
        </is>
      </c>
      <c r="C132" s="7" t="inlineStr">
        <is>
          <t>National hotline (alternate to ASPCA APCC)</t>
        </is>
      </c>
      <c r="D132" s="7" t="inlineStr">
        <is>
          <t>N/A - phone hotline</t>
        </is>
      </c>
      <c r="E132" s="7" t="inlineStr">
        <is>
          <t>(855) 764-7661</t>
        </is>
      </c>
      <c r="F132" s="7" t="inlineStr"/>
      <c r="G132" s="7" t="inlineStr">
        <is>
          <t>https://www.petpoisonhelpline.com</t>
        </is>
      </c>
      <c r="H132" s="7" t="inlineStr">
        <is>
          <t>Call 24/7/365 (per-incident fee). Good backup if ASPCA APCC line is busy.</t>
        </is>
      </c>
      <c r="I132" s="7" t="inlineStr">
        <is>
          <t>Per-incident consultation fee</t>
        </is>
      </c>
      <c r="J132" s="7" t="inlineStr">
        <is>
          <t>Second national 24/7 animal poison-control hotline - useful alternate when the ASPCA line is busy. Same purpose: toxicology guidance for you + your ER vet. Verified 2026-08-26.</t>
        </is>
      </c>
      <c r="K132" s="8" t="inlineStr">
        <is>
          <t>High</t>
        </is>
      </c>
      <c r="L132" s="7" t="inlineStr">
        <is>
          <t>https://www.petpoisonhelpline.com/</t>
        </is>
      </c>
      <c r="M132" s="7" t="inlineStr">
        <is>
          <t>2026-08-26</t>
        </is>
      </c>
    </row>
    <row r="133" ht="93" customHeight="1">
      <c r="A133" s="7" t="inlineStr">
        <is>
          <t>The Toby Project - Feral Spay/Neuter Clinic</t>
        </is>
      </c>
      <c r="B133" s="7" t="inlineStr">
        <is>
          <t>spay-neuter clinic (support, all boroughs)</t>
        </is>
      </c>
      <c r="C133" s="7" t="inlineStr">
        <is>
          <t>All 5 boroughs - FREE community-cat spay/neuter for Certified TNR Caretakers</t>
        </is>
      </c>
      <c r="D133" s="7" t="inlineStr">
        <is>
          <t>Citywide (clinic in Brooklyn)</t>
        </is>
      </c>
      <c r="E133" s="7" t="inlineStr">
        <is>
          <t>(347) 816-2899 (Bklyn/Manhattan/SI clinic scheduling, Tue-Sat 1-7pm)</t>
        </is>
      </c>
      <c r="F133" s="7" t="inlineStr">
        <is>
          <t>Tobyprojectnyc@gmail.com (Bronx/Queens mobile clinic)</t>
        </is>
      </c>
      <c r="G133" s="7" t="inlineStr">
        <is>
          <t>https://www.tobyproject.org</t>
        </is>
      </c>
      <c r="H133" s="7" t="inlineStr">
        <is>
          <t>Bklyn/Manhattan/SI: call (347) 816-2899 for the stationary clinic at Ferals in Peril (Brooklyn), Sun/Mon by appt. Bronx/Queens: email Tobyprojectnyc@gmail.com for the weekly mobile clinic.</t>
        </is>
      </c>
      <c r="I133" s="7" t="inlineStr">
        <is>
          <t>104,000+ spay/neuters to date</t>
        </is>
      </c>
      <c r="J133" s="7" t="inlineStr">
        <is>
          <t>FREE spay/neuter + eartip in ALL FIVE BOROUGHS for community cats ($5 mandatory rabies charge). Must be a Certified TNR Caretaker. FVRCP/SNAP testing/Revolution available at heavily discounted fees. Also runs public low-cost s/n. Verified 2026-08-26.</t>
        </is>
      </c>
      <c r="K133" s="8" t="inlineStr">
        <is>
          <t>High</t>
        </is>
      </c>
      <c r="L133" s="7" t="inlineStr">
        <is>
          <t>https://www.bideawee.org/programs/feral-cat-initiative/colony-care/spay-neuter-vet-care/spay-neuter/nonprofit-spay-neuter-providers/</t>
        </is>
      </c>
      <c r="M133" s="7" t="inlineStr">
        <is>
          <t>2026-08-26</t>
        </is>
      </c>
    </row>
    <row r="134" ht="63" customHeight="1">
      <c r="A134" s="7" t="inlineStr">
        <is>
          <t>Muffin's Pet Connection - MAMA Program</t>
        </is>
      </c>
      <c r="B134" s="7" t="inlineStr">
        <is>
          <t>spay-neuter voucher / trap rental (support)</t>
        </is>
      </c>
      <c r="C134" s="7" t="inlineStr">
        <is>
          <t>NYC community cats (participating-vet network)</t>
        </is>
      </c>
      <c r="D134" s="7" t="inlineStr">
        <is>
          <t>Citywide via vouchers</t>
        </is>
      </c>
      <c r="E134" s="7" t="inlineStr"/>
      <c r="F134" s="7" t="inlineStr"/>
      <c r="G134" s="7" t="inlineStr">
        <is>
          <t>https://www.muffins.org</t>
        </is>
      </c>
      <c r="H134" s="7" t="inlineStr">
        <is>
          <t>See muffins.org/MAMA.htm for participating vets + guidelines; also rents humane cat traps</t>
        </is>
      </c>
      <c r="I134" s="7" t="inlineStr">
        <is>
          <t>Feral package ~$45 (males): spay/neuter + rabies + left eartip</t>
        </is>
      </c>
      <c r="J134" s="7" t="inlineStr">
        <is>
          <t>MAMA (low-cost feral spay/neuter voucher) program - flat feral package incl. rabies + eartip at participating vets; get an estimate before extra services. Also rents humane cat traps. Verified 2026-08-26.</t>
        </is>
      </c>
      <c r="K134" s="9" t="inlineStr">
        <is>
          <t>Medium</t>
        </is>
      </c>
      <c r="L134" s="7" t="inlineStr">
        <is>
          <t>https://www.muffins.org/MAMA.htm ; https://www.aspcapro.org/sites/default/files/Local%20NYC%20resources-online%2011-14.pdf</t>
        </is>
      </c>
      <c r="M134" s="7" t="inlineStr">
        <is>
          <t>2026-08-26</t>
        </is>
      </c>
    </row>
  </sheetData>
  <mergeCells count="13">
    <mergeCell ref="A112:M112"/>
    <mergeCell ref="A1:M1"/>
    <mergeCell ref="A5:M5"/>
    <mergeCell ref="A32:M32"/>
    <mergeCell ref="A58:M58"/>
    <mergeCell ref="A22:M22"/>
    <mergeCell ref="A74:M74"/>
    <mergeCell ref="A92:M92"/>
    <mergeCell ref="A101:M101"/>
    <mergeCell ref="A39:M39"/>
    <mergeCell ref="A121:M121"/>
    <mergeCell ref="A2:M2"/>
    <mergeCell ref="A52:M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6"/>
  <sheetViews>
    <sheetView showGridLines="0" workbookViewId="0">
      <selection activeCell="A1" sqref="A1"/>
    </sheetView>
  </sheetViews>
  <sheetFormatPr baseColWidth="8" defaultRowHeight="15"/>
  <cols>
    <col width="122" customWidth="1" min="1" max="1"/>
  </cols>
  <sheetData>
    <row r="1">
      <c r="A1" s="11" t="inlineStr">
        <is>
          <t>Brooklyn Cat Rescue &amp; TNR Reference - how to use</t>
        </is>
      </c>
    </row>
    <row r="2">
      <c r="A2" s="12" t="inlineStr"/>
    </row>
    <row r="3">
      <c r="A3" s="12" t="inlineStr">
        <is>
          <t>Purpose: a hand-off reference for people needing cat help outside the zip codes your own org covers.</t>
        </is>
      </c>
    </row>
    <row r="4">
      <c r="A4" s="12" t="inlineStr"/>
    </row>
    <row r="5" ht="72" customHeight="1">
      <c r="A5" s="12" t="inlineStr">
        <is>
          <t>Coverage: worked neighborhood by neighborhood - North / Central / East / South+SW Brooklyn - plus Brooklyn-wide, citywide backbone/multi-borough, and clinics. Solo and hyper-local rescuers are included as first-class rows, not afterthoughts. Support tabs: clinics/traps, owner support &amp; surrender prevention (food pantries, crisis + DV fostering, vet-bill aid, pet insurance), emergency/poison, lost-found/behavior, and colony/feral care.</t>
        </is>
      </c>
    </row>
    <row r="6">
      <c r="A6" s="12" t="inlineStr"/>
    </row>
    <row r="7">
      <c r="A7" s="13" t="inlineStr">
        <is>
          <t>Confidence column:</t>
        </is>
      </c>
    </row>
    <row r="8">
      <c r="A8" s="12" t="inlineStr">
        <is>
          <t xml:space="preserve">  High  = contact confirmed on the organization's OWN website on the last-verified date.</t>
        </is>
      </c>
    </row>
    <row r="9">
      <c r="A9" s="12" t="inlineStr">
        <is>
          <t xml:space="preserve">  Medium = confirmed via an authoritative third-party listing (Petfinder/Adoptapet/Bideawee/GuideStar) or the org's own site with a stated caveat (e.g. status uncertain).</t>
        </is>
      </c>
    </row>
    <row r="10">
      <c r="A10" s="12" t="inlineStr">
        <is>
          <t xml:space="preserve">  Low   = a real, active Brooklyn group that publishes ONLY an Instagram/social channel (no public email/phone/website). The IG handle listed is the verified channel. Message them there and confirm scope before relying. These are mostly single-person / hyper-local rescuers - often the ones who actually show up - so they are kept in, flagged honestly, not dropped.</t>
        </is>
      </c>
    </row>
    <row r="11">
      <c r="A11" s="12" t="inlineStr"/>
    </row>
    <row r="12">
      <c r="A12" s="12" t="inlineStr">
        <is>
          <t>Where a phone/email is blank, no public value exists; the org routes contact through a form or Instagram DM, recorded in the relevant column rather than invented.</t>
        </is>
      </c>
    </row>
    <row r="13">
      <c r="A13" s="12" t="inlineStr"/>
    </row>
    <row r="14">
      <c r="A14" s="12" t="inlineStr">
        <is>
          <t>Re-verifying: update 'Last verified' when you re-check a row. Verified contact info goes stale fast - confirm the exact number/email before an emergency handoff.</t>
        </is>
      </c>
    </row>
    <row r="15">
      <c r="A15" s="12" t="inlineStr"/>
    </row>
    <row r="16">
      <c r="A16" s="12" t="inlineStr">
        <is>
          <t>Inactive / limited-capacity groups are kept in ON PURPOSE: if an org is at capacity, paused, or 'not accepting new clients,' it stays in the sheet with that status flagged rather than being dropped - better to reach out and hear 'not at this time' than to miss a resource that may reopen. Retired/defunct ones (e.g. Big City Little Kitty) are labeled so you don't route live cases there.</t>
        </is>
      </c>
    </row>
    <row r="17">
      <c r="A17" s="12" t="inlineStr"/>
    </row>
    <row r="18">
      <c r="A18" s="13" t="inlineStr">
        <is>
          <t>Flags worth noting:</t>
        </is>
      </c>
    </row>
    <row r="19">
      <c r="A19" s="12" t="inlineStr">
        <is>
          <t xml:space="preserve">  - Flatbush Cats gives DIRECT TNR help only in Flatbush/East Flatbush; refers others out.</t>
        </is>
      </c>
    </row>
    <row r="20">
      <c r="A20" s="12" t="inlineStr">
        <is>
          <t xml:space="preserve">  - BBAWC does not run TNR projects itself (refers to Neighborhood Cats/FCI).</t>
        </is>
      </c>
    </row>
    <row r="21">
      <c r="A21" s="12" t="inlineStr">
        <is>
          <t xml:space="preserve">  - ASPCA is NOT accepting NEW rescue clients (2026) - but it's kept in and worth a call, since status may change and existing clients still use it; public spay/neuter runs via its mobile clinic + virtual waitlist.</t>
        </is>
      </c>
    </row>
    <row r="22">
      <c r="A22" s="12" t="inlineStr">
        <is>
          <t xml:space="preserve">  - Itty Bitty Kitty NY: co-founder George Politis has passed; not a 501(c)(3); confirm current activity.</t>
        </is>
      </c>
    </row>
    <row r="23">
      <c r="A23" s="12" t="inlineStr">
        <is>
          <t xml:space="preserve">  - Cat Republic covers the widest South/SW Brooklyn footprint and will refer out - strong first call for Bay Ridge/Bensonhurst/Sheepshead Bay/Marine Park.</t>
        </is>
      </c>
    </row>
    <row r="24">
      <c r="A24" s="12" t="inlineStr">
        <is>
          <t xml:space="preserve">  - Sean Casey and AMA Animal Rescue are among the few Brooklyn orgs with a physical walk-in shelter.</t>
        </is>
      </c>
    </row>
    <row r="25">
      <c r="A25" s="12" t="inlineStr">
        <is>
          <t xml:space="preserve">  - Big City Little Kitty is RETIRED and kept only so you recognize the name as inactive - do not route live cases there.</t>
        </is>
      </c>
    </row>
    <row r="26">
      <c r="A26" s="12" t="inlineStr"/>
    </row>
    <row r="27">
      <c r="A27" s="12" t="inlineStr">
        <is>
          <t>Best directory to re-mine later: North Brooklyn Cats' /resources page groups Brooklyn rescuers by sub-region and is kept current - it is where many of the Low-confidence solo entries here came from.</t>
        </is>
      </c>
    </row>
    <row r="28">
      <c r="A28" s="12" t="inlineStr"/>
    </row>
    <row r="29">
      <c r="A29" s="12" t="inlineStr">
        <is>
          <t>On completeness (read this): this pass chased down every verifiable lead I could reach - neighborhood by neighborhood, plus partner-list cross-references from other rescues' own pages. It is the most complete list I can build from verifiable sources. It is still not, and cannot honestly be called, EVERY rescuer. A large share of micro-colony caretakers are one person with a trap and a feeding station, coordinating privately with no public page to find or verify. Anyone claiming a truly exhaustive list is asserting something unprovable. Treat this as a living document.</t>
        </is>
      </c>
    </row>
    <row r="30">
      <c r="A30" s="12" t="inlineStr"/>
    </row>
    <row r="31">
      <c r="A31" s="12" t="inlineStr">
        <is>
          <t>Checked and deliberately EXCLUDED (verified dog-only, despite older listings that mention cats): Beastly Rescue (own site: 'a woman-run dog rescue'), Rescue City (own site: 'Brooklyn-based dog rescue'), Mr. Bones &amp; Co. (own site: canine rescue via 'One Lucky Pup', dogs only), Red Hook Dog Rescue, Hearts &amp; Bones. Recorded here so they aren't re-flagged as missing cat groups on the next pass.</t>
        </is>
      </c>
    </row>
    <row r="32">
      <c r="A32" s="12" t="inlineStr"/>
    </row>
    <row r="33">
      <c r="A33" s="12" t="inlineStr">
        <is>
          <t>Scope note - Long Island (outside NYC): some directories (e.g. Humane Urban Group) mix in Nassau/Suffolk groups. These are NOT NYC and are kept out of the borough clusters to keep scope coherent. If you ever need a Long Island handoff, verified LI cat resources include: Tender Loving Cats Inc (N. Babylon, 1-866-458-8228 / adoptions@tenderlovingcats.org, 1,400+ cats/yr, PAL low-cost TNR vouchers) and Long Island Cat/Kitten Solution (LICKS, Nassau). Say the word and a full Long Island section can be built out.</t>
        </is>
      </c>
    </row>
    <row r="34">
      <c r="A34" s="12" t="inlineStr"/>
    </row>
    <row r="35">
      <c r="A35" s="12" t="inlineStr">
        <is>
          <t>Checked and EXCLUDED as out-of-state name collisions (NOT NYC, despite similar names): 'MEOW Cat Rescue' (Kirkland, WA), 'Friends of Strays' (St. Petersburg, FL - the Flushing NY Petfinder listing of that name shows no verifiable active NYC operation). Unverified lead to revisit: New York Meow Sanctuary (Flushing cat rescuers, Petfinder-only, no independent contact found yet).</t>
        </is>
      </c>
    </row>
    <row r="36">
      <c r="A36" s="12" t="inlineStr"/>
    </row>
    <row r="37">
      <c r="A37" s="12" t="inlineStr">
        <is>
          <t>Checked and EXCLUDED as out-of-state name collisions (NOT NYC): 'Hope Harbor Animal Society' (active org is Saco, ME), 'New Hope Cat Rescue &amp; Sanctuary' (Arlington, TX), 'MEOW Cat Rescue' (Kirkland, WA), 'Friends of Strays' (St. Petersburg, FL). Logged so they aren't re-chased.</t>
        </is>
      </c>
    </row>
    <row r="38">
      <c r="A38" s="12" t="inlineStr"/>
    </row>
    <row r="39" ht="72" customHeight="1">
      <c r="A39" s="12" t="inlineStr">
        <is>
          <t>If someone needs help to AVOID surrendering a cat (hospitalization, eviction, DV, cost): see the 'Owner support &amp; surrender prev.' tab - it lists food pantries, temporary/crisis fostering, domestic-violence pet safe-keeping (URI PALS, Safe Haven/MAP), in-home care (PAWS NY), hospice/senior placement, housing help, vet-bill aid (NYSAVE, AMC, RedRover, etc.), and pet insurance. Quick anchors: ACC CommunityPets@nycacc.org, RescueNYC holding, PAWS NY referrals@pawsny.org (212) 203-4760 ext. 306.</t>
        </is>
      </c>
    </row>
    <row r="40">
      <c r="A40" s="12" t="inlineStr"/>
    </row>
    <row r="41">
      <c r="A41" s="13" t="inlineStr">
        <is>
          <t>How to keep surfacing more (standing method):</t>
        </is>
      </c>
    </row>
    <row r="42">
      <c r="A42" s="12" t="inlineStr">
        <is>
          <t xml:space="preserve">  1. Re-mine North Brooklyn Cats' /resources page - it is grouped by sub-region and updated.</t>
        </is>
      </c>
    </row>
    <row r="43">
      <c r="A43" s="12" t="inlineStr">
        <is>
          <t xml:space="preserve">  2. On Instagram, search '[neighborhood] cats' / '[street name] cats' and check who established Brooklyn rescues follow and tag.</t>
        </is>
      </c>
    </row>
    <row r="44">
      <c r="A44" s="12" t="inlineStr">
        <is>
          <t xml:space="preserve">  3. Check the partner/'friends' lists on each org's own About page - that's how BC3, Thundercats, Big City Little Kitty surfaced.</t>
        </is>
      </c>
    </row>
    <row r="45">
      <c r="A45" s="12" t="inlineStr">
        <is>
          <t xml:space="preserve">  4. Petfinder + Adoptapet 'shelters near Brooklyn' listings, and Bideawee's NYC TNR org list, catch newly-registered 501(c)(3)s.</t>
        </is>
      </c>
    </row>
    <row r="46">
      <c r="A46" s="12" t="inlineStr">
        <is>
          <t xml:space="preserve">  5. Ask the citywide backbone (FCI helpdesk, Neighborhood Cats) who covers a specific block - they know the caretakers who never make a page.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8"/>
  <sheetViews>
    <sheetView showGridLines="0" workbookViewId="0">
      <selection activeCell="A1" sqref="A1"/>
    </sheetView>
  </sheetViews>
  <sheetFormatPr baseColWidth="8" defaultRowHeight="15"/>
  <cols>
    <col width="122" customWidth="1" min="1" max="1"/>
  </cols>
  <sheetData>
    <row r="1">
      <c r="A1" s="11" t="inlineStr">
        <is>
          <t>Progress log - where the build stands (update as you go)</t>
        </is>
      </c>
    </row>
    <row r="2">
      <c r="A2" s="12" t="inlineStr"/>
    </row>
    <row r="3">
      <c r="A3" s="12" t="inlineStr">
        <is>
          <t>Last worked: 2026-08-26. This is a NYC-wide reference, built Brooklyn-first then borough by borough.</t>
        </is>
      </c>
    </row>
    <row r="4">
      <c r="A4" s="12" t="inlineStr"/>
    </row>
    <row r="5">
      <c r="A5" s="12" t="inlineStr">
        <is>
          <t>CURRENT STATE (119 rows, 8 tabs): ALL FIVE BOROUGHS complete + re-verified. Brooklyn 48, Queens 17, Manhattan 10, Bronx 8, Staten Island 8, citywide backbone 15, clinics/support 13. Confidence 64 High / 33 Medium / 22 Low. Dedupe: clean. All rows have source + confidence + 2026-08-26 verify date + a contact route.</t>
        </is>
      </c>
    </row>
    <row r="6">
      <c r="A6" s="12" t="inlineStr"/>
    </row>
    <row r="7">
      <c r="A7" s="12" t="inlineStr">
        <is>
          <t>TABS: (1) Brooklyn Cat Rescues [main directory] (2) How to use (3) Progress log (4) Specialty view [neonatal/sick-injured/special-needs/senior/FeLV-FIV/working-cat] (5) Emergency &amp; poison control [24hr ERs by borough + hotlines] (6) Clinics, traps &amp; support [low-cost s/n by borough, trap banks, feral dentals, vet-bill financial aid, food pantries, owner-support] (7) Lost-found &amp; behavior [microchip, lost/found, socialization, owned-cat behavior] (8) Colony &amp; feral care [TNR lifecycle + services available for colony cats].</t>
        </is>
      </c>
    </row>
    <row r="8">
      <c r="A8" s="12" t="inlineStr"/>
    </row>
    <row r="9">
      <c r="A9" s="12" t="inlineStr">
        <is>
          <t>VERIFICATION PASS done 2026-08-26: structural integrity checked on the FILE ON DISK (not just build log - a stale-copy bug was caught earlier and fixed); every row audited for source/confidence/date/contact; exact + normalized dedupe clean; 210 URLs extracted, primary org domains verified via web search (sandbox curl gives false 'dead' results due to network limits - confirmed live via search instead); Specialty cross-refs all match; row heights auto-fit so nothing clips. Catches this pass: Harlem Cats flagged ON HIATUS; added info@catsofmeowyork.org; added Paws of Hope EIN 85-0996451.</t>
        </is>
      </c>
    </row>
    <row r="10">
      <c r="A10" s="12" t="inlineStr"/>
    </row>
    <row r="11">
      <c r="A11" s="12" t="inlineStr">
        <is>
          <t>To resume/extend in a new chat: open this project, say 'keep building the NYC cat rescue spreadsheet.' File on disk is the source of truth. Build script: /home/claude/build_sheet_v4.py. ALWAYS rebuild THEN copy to outputs in one step (stale-copy risk), and verify the file on disk, not the build log.</t>
        </is>
      </c>
    </row>
    <row r="12">
      <c r="A12" s="12" t="inlineStr"/>
    </row>
    <row r="13">
      <c r="A13" s="13" t="inlineStr">
        <is>
          <t>IMMEDIATE NEXT STEPS:</t>
        </is>
      </c>
    </row>
    <row r="14">
      <c r="A14" s="12" t="inlineStr">
        <is>
          <t xml:space="preserve">  1. Manhattan: add Manhattan-only groups (search LES/Harlem/downtown solos). Already reclassified in: City Critters, Place for Cats, KittyKind, + WaHi Cats, Cat Castle, Anjellicle.</t>
        </is>
      </c>
    </row>
    <row r="15">
      <c r="A15" s="12" t="inlineStr">
        <is>
          <t xml:space="preserve">  2. Bronx: has Bronx Tails, Bronx Community Cats, NYC Cat Coalition, Little Wanderers (just moved in). Add more Bronx groups (search Bronx TNR solos).</t>
        </is>
      </c>
    </row>
    <row r="16">
      <c r="A16" s="12" t="inlineStr">
        <is>
          <t xml:space="preserve">  3. Staten Island: add Feline Rescue of SI, SICAW (SI Council for Animal Welfare), any others - only SI Hope + Victory 4 the Voiceless so far.</t>
        </is>
      </c>
    </row>
    <row r="17">
      <c r="A17" s="12" t="inlineStr">
        <is>
          <t xml:space="preserve">  4. Misc queued leads to verify: H.A.R.A., Mr. Bones &amp; Co., The Poor Animals of St. Francis, Loving Touch, Whiskers &amp; Tails (confirm which are NYC vs out-of-state - a Chicago 'Whiskers &amp; Tails' exists).</t>
        </is>
      </c>
    </row>
    <row r="18">
      <c r="A18" s="12" t="inlineStr">
        <is>
          <t xml:space="preserve">  5. FINAL: build the cross-cutting Specialty tab from the tags recorded below.</t>
        </is>
      </c>
    </row>
    <row r="19">
      <c r="A19" s="12" t="inlineStr"/>
    </row>
    <row r="20">
      <c r="A20" s="12" t="inlineStr">
        <is>
          <t>DONE - Brooklyn discovery: North/Central/East/South + Brooklyn-wide clusters populated, incl. hyper-local &amp; Instagram-only solo rescuers.</t>
        </is>
      </c>
    </row>
    <row r="21">
      <c r="A21" s="12" t="inlineStr">
        <is>
          <t>DONE - Brooklyn re-verification COMPLETE (contacts re-checked vs each org's own current site): Greenpoint Cats, Greenpoint Cats Club, North Brooklyn Cats, Whiskers-A-GoGo (phone removed), Bushwick Street Cats, A Tail of Two Kitties, Flatbush Cats (+ Flatbush Vet split out), BBAWC (+ Cat Cafe hours), Neighborhood Cats, FCI, Brooklyn Animal Action (adopt@ added), MeowSquad (TNR at-capacity flag), Ocean Hill Cats, Cat Republic, Sunset Park Cats, Bay Ridge Kittens, Itty Bitty Kitty NY, Sean Casey (address fixed + critical-care scale-down flag), AMA (phone added), ASPCA (mobile/waitlist correction + status), ACC (Brooklyn location CLOSED for renovation flag). Instagram-only solo rows left as-is (handle IS the verified channel).</t>
        </is>
      </c>
    </row>
    <row r="22">
      <c r="A22" s="12" t="inlineStr">
        <is>
          <t>NEXT: Brooklyn is closed out. Move to Queens - build it out fully like Brooklyn (discovery + verify), then Bronx, Manhattan, Staten Island.</t>
        </is>
      </c>
    </row>
    <row r="23">
      <c r="A23" s="12" t="inlineStr"/>
    </row>
    <row r="24">
      <c r="A24" s="13" t="inlineStr">
        <is>
          <t>STARTED - other boroughs (each needs a fuller build-out like Brooklyn got):</t>
        </is>
      </c>
    </row>
    <row r="25">
      <c r="A25" s="12" t="inlineStr">
        <is>
          <t xml:space="preserve">  Queens (5): Astoria Cat Rescue, TNR Utopia, LIC Feral Feeders, Noah's Ark NY (Rockaway), Saint Spiro. TO ADD: Castoria, Catstoria, NYC Second Chance, AdvoCat (reclassify from citywide), Amazing Animals, more.</t>
        </is>
      </c>
    </row>
    <row r="26">
      <c r="A26" s="12" t="inlineStr">
        <is>
          <t xml:space="preserve">  Bronx (3): Bronx Tails, Bronx Community Cats, NYC Cat Coalition. TO ADD: reclassify Little Wanderers as Bronx-based; check Adore-a-Bullie, others.</t>
        </is>
      </c>
    </row>
    <row r="27">
      <c r="A27" s="12" t="inlineStr">
        <is>
          <t xml:space="preserve">  Manhattan (1): Washington Heights Cat Colony. TO DO: reclassify Anjellicle / City Critters / KittyKind / Place for Cats / Urban Cat League into this section; add Manhattan-only groups.</t>
        </is>
      </c>
    </row>
    <row r="28">
      <c r="A28" s="12" t="inlineStr">
        <is>
          <t xml:space="preserve">  Staten Island (2): SI Hope, Victory 4 the Voiceless. TO ADD: Feline Rescue of SI, SICAW, others.</t>
        </is>
      </c>
    </row>
    <row r="29">
      <c r="A29" s="12" t="inlineStr"/>
    </row>
    <row r="30">
      <c r="A30" s="12" t="inlineStr">
        <is>
          <t>QUEUED leads not yet checked: H.A.R.A., Mr. Bones &amp; Co., The Poor Animals of St. Francis, Loving Touch, Anjellicle (reclassify), plus any new Instagram-only solos found via North Brooklyn Cats' /resources.</t>
        </is>
      </c>
    </row>
    <row r="31">
      <c r="A31" s="12" t="inlineStr"/>
    </row>
    <row r="32">
      <c r="A32" s="12" t="inlineStr">
        <is>
          <t>PLANNED after all 5 boroughs: a cross-cutting 'Specialty' view/tab (a cat may serve a whole borough AND be a specialist). Tag candidates as found. So far: NEONATAL/bottle-baby - Bay Ridge Kittens, Itty Bitty City Kitties, Noah's Ark NY, Cats of Meow York. SICK/INJURED - Catstoria (Kitty Haven), NYC Second Chance. SPECIAL-NEEDS/DISABLED - Tavi &amp; Friends (senior+FIV), K9Kastle (3-legged/neuro), Saint Spiro. CRITICAL MEDICAL - NY Cat Warriors, Little Wanderers, Puppy Kitty, NYC Second Chance, (Sean Casey - scaling down). FeLV+/FIV+ - Bronx Tails, Empty Cages, Victory 4 the Voiceless. SENIOR - Tavi &amp; Friends. Working-cat placement - Urban Cat League, MeowSquad, For Animals.</t>
        </is>
      </c>
    </row>
    <row r="33">
      <c r="A33" s="12" t="inlineStr"/>
    </row>
    <row r="34">
      <c r="A34" s="12" t="inlineStr">
        <is>
          <t>Out of scope (kept in a note on 'How to use', not in borough clusters): Long Island (Nassau/Suffolk) groups like Tender Loving Cats, LICKS. Dog-only orgs (Beastly Rescue, Rescue City) excluded and logged.</t>
        </is>
      </c>
    </row>
    <row r="35">
      <c r="A35" s="12" t="inlineStr"/>
    </row>
    <row r="36">
      <c r="A36" s="12" t="inlineStr">
        <is>
          <t>Row count at last save: see the counts printed on build. Confidence mix roughly: ~43 High / ~21 Medium / ~20 Low.</t>
        </is>
      </c>
    </row>
    <row r="37"/>
    <row r="38" ht="87" customHeight="1">
      <c r="A38" s="17" t="inlineStr">
        <is>
          <t>2026-08-28 UPDATE: Added a dedicated 'Owner support &amp; surrender prev.' tab (cross-referenced from the dog reference to close a gap). It gathers + expands the owner-support content that was previously only a short subsection on the clinics tab: itemized pet food pantries, temporary/crisis fostering, domestic-violence pet safe-keeping (URI PALS, Safe Haven/MAP, Safe Place for Pets, Safe Havens Mapping, SAF-T, SPCA Westchester), in-home care (PAWS NY, CancerCare PAW), hospice/senior lifetime-care placement, full vet-bill aid (added NYSAVE + AMC funds + contacts), and a new PET INSURANCE section. All verified 2026-08-28.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8"/>
  <sheetViews>
    <sheetView showGridLines="0" workbookViewId="0">
      <selection activeCell="A1" sqref="A1"/>
    </sheetView>
  </sheetViews>
  <sheetFormatPr baseColWidth="8" defaultRowHeight="15"/>
  <cols>
    <col width="122" customWidth="1" min="1" max="1"/>
  </cols>
  <sheetData>
    <row r="1">
      <c r="A1" s="11" t="inlineStr">
        <is>
          <t>SPECIALTY VIEW - cross-cut by need (contacts included inline; these groups also appear in their borough sections)</t>
        </is>
      </c>
    </row>
    <row r="2">
      <c r="A2" s="12" t="inlineStr">
        <is>
          <t>Use this when a specific cat needs specialized help. Always confirm current capacity - specialists fill up fast, especially in kitten season.</t>
        </is>
      </c>
    </row>
    <row r="3">
      <c r="A3" s="12" t="inlineStr"/>
    </row>
    <row r="4">
      <c r="A4" s="14" t="inlineStr">
        <is>
          <t>NEONATAL / BOTTLE-BABY (unweaned kittens needing round-the-clock care)</t>
        </is>
      </c>
    </row>
    <row r="5">
      <c r="A5" s="12" t="inlineStr">
        <is>
          <t xml:space="preserve">  - Itty Bitty City Kitties (Queens/Rockaway) - dedicated neonatal nursery; the specialist. ittybittycitykitties@gmail.com | ittybittycitykitties.org</t>
        </is>
      </c>
    </row>
    <row r="6">
      <c r="A6" s="12" t="inlineStr">
        <is>
          <t xml:space="preserve">  - Cats of Meow York (Queens/Woodhaven) - heavy neonatal focus + holding space. info@catsofmeowyork.org | catsofmeowyork.org | IG @catsofmeowyork</t>
        </is>
      </c>
    </row>
    <row r="7">
      <c r="A7" s="12" t="inlineStr">
        <is>
          <t xml:space="preserve">  - Bay Ridge Kittens (Brooklyn) - solo neonatal/critical-kitten rescuer (Flatbush Cats med coord). IG @bayridgekittens (contact via IG/adoption form)</t>
        </is>
      </c>
    </row>
    <row r="8">
      <c r="A8" s="12" t="inlineStr">
        <is>
          <t xml:space="preserve">  - Kittens and Barbells Rescue (Bronx) - TNR-cert + neonatal tube/bottle-feed trained. kittensandbarbells.org/adoptus | IG @kittensandbarbells_</t>
        </is>
      </c>
    </row>
    <row r="9">
      <c r="A9" s="12" t="inlineStr">
        <is>
          <t xml:space="preserve">  - Cat Castle NYC (Manhattan) - takes kittens as young as one day old. (973) 752-7750 | catcastlenyc.org | IG @catcastlenyc</t>
        </is>
      </c>
    </row>
    <row r="10">
      <c r="A10" s="12" t="inlineStr">
        <is>
          <t xml:space="preserve">  - Noah's Ark Animal Rescue NY (Queens/Rockaway) - noahsarkny.com (contact form). Catstoria/Kitty Haven (Queens) - catstoriarescue@gmail.com | catstoria.com</t>
        </is>
      </c>
    </row>
    <row r="11">
      <c r="A11" s="12" t="inlineStr"/>
    </row>
    <row r="12">
      <c r="A12" s="14" t="inlineStr">
        <is>
          <t>SICK / INJURED / CRITICAL-MEDICAL (cats needing emergency or intensive vet care)</t>
        </is>
      </c>
    </row>
    <row r="13">
      <c r="A13" s="12" t="inlineStr">
        <is>
          <t xml:space="preserve">  - NY Cat Warriors (multi-borough) - urgent/complex medical; ACC New Hope partner. nycatwarriors.org | IG @nycatwarriors</t>
        </is>
      </c>
    </row>
    <row r="14">
      <c r="A14" s="12" t="inlineStr">
        <is>
          <t xml:space="preserve">  - NYC Second Chance Rescue (Queens) - critically injured/neglected from ACC 'death row'. nycsecondchancerescue.org | IG @nycscr</t>
        </is>
      </c>
    </row>
    <row r="15">
      <c r="A15" s="12" t="inlineStr">
        <is>
          <t xml:space="preserve">  - Little Wanderers NYC (Bronx) - neediest cats, heavy vetting. Rescue line (IG) 929-282-2271 | lwnyc.org</t>
        </is>
      </c>
    </row>
    <row r="16">
      <c r="A16" s="12" t="inlineStr">
        <is>
          <t xml:space="preserve">  - Puppy Kitty NYC (multi-borough) - severe medical/cruelty cases. info@puppykittynyc.org | puppykittynyc.org</t>
        </is>
      </c>
    </row>
    <row r="17">
      <c r="A17" s="12" t="inlineStr">
        <is>
          <t xml:space="preserve">  - Catstoria / Kitty Haven (Queens) - sick &amp; injured ferals + recovery house. catstoriarescue@gmail.com | catstoria.com</t>
        </is>
      </c>
    </row>
    <row r="18">
      <c r="A18" s="12" t="inlineStr">
        <is>
          <t xml:space="preserve">  - Strays Hope for Life (Staten Island) - 'sick, bruised, or broken.' (908) 986-2505 | strayshopeforlife@gmail.com</t>
        </is>
      </c>
    </row>
    <row r="19">
      <c r="A19" s="12" t="inlineStr">
        <is>
          <t xml:space="preserve">  - Note: Sean Casey (Brooklyn) historically THE critical-care org but SCALING DOWN - confirm first. (718) 436-5163 | info@nyanimalrescue.org</t>
        </is>
      </c>
    </row>
    <row r="20">
      <c r="A20" s="12" t="inlineStr"/>
    </row>
    <row r="21">
      <c r="A21" s="14" t="inlineStr">
        <is>
          <t>SPECIAL-NEEDS / DISABLED (3-legged, neurological, blind, chronic conditions)</t>
        </is>
      </c>
    </row>
    <row r="22">
      <c r="A22" s="12" t="inlineStr">
        <is>
          <t xml:space="preserve">  - K9Kastle (South Brooklyn Petco catteries) - 3-legged/neuro/wobbly; the specialist. k9kastle@gmail.com | k9kastle.org</t>
        </is>
      </c>
    </row>
    <row r="23">
      <c r="A23" s="12" t="inlineStr">
        <is>
          <t xml:space="preserve">  - Tavi &amp; Friends (Brooklyn-based) - special-care + lifetime foster. 646-872-1533 | adopt@taviandfriends.org | taviandfriends.org</t>
        </is>
      </c>
    </row>
    <row r="24">
      <c r="A24" s="12" t="inlineStr">
        <is>
          <t xml:space="preserve">  - Saint Spiro (Queens) - special-needs/injured 'ones nobody wants.' (347) 622-2630 | saintspiro007@gmail.com</t>
        </is>
      </c>
    </row>
    <row r="25">
      <c r="A25" s="12" t="inlineStr">
        <is>
          <t xml:space="preserve">  - For Blake's Sake (Staten Island) - special-needs incl. blind cats. (732) 413-5006 | forblakessakerescue@gmail.com</t>
        </is>
      </c>
    </row>
    <row r="26">
      <c r="A26" s="12" t="inlineStr">
        <is>
          <t xml:space="preserve">  - Cat Castle NYC (Manhattan) - hard cases others won't take. (973) 752-7750 | catcastlenyc.org</t>
        </is>
      </c>
    </row>
    <row r="27">
      <c r="A27" s="12" t="inlineStr"/>
    </row>
    <row r="28">
      <c r="A28" s="14" t="inlineStr">
        <is>
          <t>SENIOR CATS</t>
        </is>
      </c>
    </row>
    <row r="29">
      <c r="A29" s="12" t="inlineStr">
        <is>
          <t xml:space="preserve">  - Tavi &amp; Friends (Brooklyn-based) - senior + FIV lifetime care; the specialist. 646-872-1533 | adopt@taviandfriends.org</t>
        </is>
      </c>
    </row>
    <row r="30">
      <c r="A30" s="12" t="inlineStr">
        <is>
          <t xml:space="preserve">  - Cat Castle NYC (Manhattan) - through-senior (up to 16 yrs). (973) 752-7750 | catcastlenyc.org</t>
        </is>
      </c>
    </row>
    <row r="31">
      <c r="A31" s="12" t="inlineStr">
        <is>
          <t xml:space="preserve">  - KittyKind (Manhattan) - senior + special-needs placement. adopt@kittykind.org | kittykind.org</t>
        </is>
      </c>
    </row>
    <row r="32">
      <c r="A32" s="12" t="inlineStr">
        <is>
          <t xml:space="preserve">  - Kittens and Barbells (Bronx) - all ages incl. seniors. kittensandbarbells.org | IG @kittensandbarbells_</t>
        </is>
      </c>
    </row>
    <row r="33">
      <c r="A33" s="12" t="inlineStr"/>
    </row>
    <row r="34">
      <c r="A34" s="14" t="inlineStr">
        <is>
          <t>FeLV+ / FIV+ (retrovirus-positive cats)</t>
        </is>
      </c>
    </row>
    <row r="35">
      <c r="A35" s="12" t="inlineStr">
        <is>
          <t xml:space="preserve">  - Tavi &amp; Friends (Brooklyn-based) - FIV lifetime care. 646-872-1533 | adopt@taviandfriends.org</t>
        </is>
      </c>
    </row>
    <row r="36">
      <c r="A36" s="12" t="inlineStr">
        <is>
          <t xml:space="preserve">  - Bronx Tails (Bronx/Harlem) - FeLV+ adoption specialty. bronxtailscatrescue@gmail.com | bronxtails.org</t>
        </is>
      </c>
    </row>
    <row r="37">
      <c r="A37" s="12" t="inlineStr">
        <is>
          <t xml:space="preserve">  - Empty Cages Collective (Brooklyn/citywide) - FeLV+ and special-needs. 1-800-880-2684 | adopt@emptycagescollective.org</t>
        </is>
      </c>
    </row>
    <row r="38">
      <c r="A38" s="12" t="inlineStr">
        <is>
          <t xml:space="preserve">  - Victory 4 the Voiceless (Staten Island) - FIV+/special-needs vetted. victory4thevoiceless@gmail.com</t>
        </is>
      </c>
    </row>
    <row r="39">
      <c r="A39" s="12" t="inlineStr">
        <is>
          <t xml:space="preserve">  - For Animals Inc. (citywide) - takes retrovirus-positive cats. foranimalsinc.com | IG @foranimalsinc</t>
        </is>
      </c>
    </row>
    <row r="40">
      <c r="A40" s="12" t="inlineStr"/>
    </row>
    <row r="41">
      <c r="A41" s="14" t="inlineStr">
        <is>
          <t>WORKING-CAT / BARN PLACEMENT (un-adoptable ferals placed as working cats)</t>
        </is>
      </c>
    </row>
    <row r="42">
      <c r="A42" s="12" t="inlineStr">
        <is>
          <t xml:space="preserve">  - Urban Cat League (citywide) - working-cat placement + taming education. urbancatleague.org/contact-us</t>
        </is>
      </c>
    </row>
    <row r="43">
      <c r="A43" s="12" t="inlineStr">
        <is>
          <t xml:space="preserve">  - MeowSquad (Brooklyn/Queens) - relocates un-returnable cats to working/barn homes. info@meowsquadnyc.org | meowsquadnyc.org</t>
        </is>
      </c>
    </row>
    <row r="44">
      <c r="A44" s="12" t="inlineStr">
        <is>
          <t xml:space="preserve">  - For Animals Inc. (citywide) - working-cat options. foranimalsinc.com</t>
        </is>
      </c>
    </row>
    <row r="45">
      <c r="A45" s="12" t="inlineStr">
        <is>
          <t xml:space="preserve">  - Hard Hat Cats (citywide) - places ferals at businesses. hardhatcats@gmail.com | hardhatcats.org</t>
        </is>
      </c>
    </row>
    <row r="46">
      <c r="A46" s="12" t="inlineStr">
        <is>
          <t xml:space="preserve">  - ACC Working Cats Program (municipal) - workingcats@nycacc.org | (212) 788-4000 | nycacc.org/workingcats</t>
        </is>
      </c>
    </row>
    <row r="47">
      <c r="A47" s="12" t="inlineStr"/>
    </row>
    <row r="48">
      <c r="A48" s="12" t="inlineStr">
        <is>
          <t>Contacts above are the verified channel from the main sheet. A group appears here AND in its borough section. Confirm current capacity before relying - specialist intake is the first thing that closes when a group is full.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6"/>
  <sheetViews>
    <sheetView showGridLines="0" workbookViewId="0">
      <selection activeCell="A1" sqref="A1"/>
    </sheetView>
  </sheetViews>
  <sheetFormatPr baseColWidth="8" defaultRowHeight="15"/>
  <cols>
    <col width="122" customWidth="1" min="1" max="1"/>
  </cols>
  <sheetData>
    <row r="1">
      <c r="A1" s="15" t="inlineStr">
        <is>
          <t>EMERGENCY VET &amp; POISON CONTROL - 24/7 crisis care (a sick/injured/poisoned cat can't wait for a rescue)</t>
        </is>
      </c>
    </row>
    <row r="2">
      <c r="A2" s="12" t="inlineStr">
        <is>
          <t>This is for MEDICAL emergencies, not rescue/adoption. If a cat is hit by a car, bleeding, not breathing, seizing, can't urinate, collapsed, or ate something toxic: go to a 24hr ER now. Call ahead so they're ready.</t>
        </is>
      </c>
    </row>
    <row r="3">
      <c r="A3" s="12" t="inlineStr">
        <is>
          <t>Verified against Bideawee + Mayor's Alliance emergency lists, 2026-08-26. Hours/locations change - call before you drive.</t>
        </is>
      </c>
    </row>
    <row r="4">
      <c r="A4" s="12" t="inlineStr"/>
    </row>
    <row r="5">
      <c r="A5" s="14" t="inlineStr">
        <is>
          <t>POISON / TOXIN INGESTION (call FIRST, then go to an ER)</t>
        </is>
      </c>
    </row>
    <row r="6">
      <c r="A6" s="12" t="inlineStr">
        <is>
          <t xml:space="preserve">  - ASPCA Animal Poison Control (APCC): (888) 426-4435 - 24/7, vet toxicologists. Consult fee ~$95 (waived w/ HomeAgain microchip).</t>
        </is>
      </c>
    </row>
    <row r="7">
      <c r="A7" s="12" t="inlineStr">
        <is>
          <t xml:space="preserve">  - Pet Poison Helpline: (855) 764-7661 - 24/7 backup line, per-incident fee.</t>
        </is>
      </c>
    </row>
    <row r="8">
      <c r="A8" s="12" t="inlineStr">
        <is>
          <t xml:space="preserve">  - Lilies are DEADLY to cats even in tiny amounts (a lick of pollen). Also: antifreeze, rodenticide, ibuprofen/acetaminophen, xylitol, onion/garlic. Don't induce vomiting unless a toxicologist says to.</t>
        </is>
      </c>
    </row>
    <row r="9">
      <c r="A9" s="12" t="inlineStr"/>
    </row>
    <row r="10">
      <c r="A10" s="14" t="inlineStr">
        <is>
          <t>BROOKLYN - 24 hour ER</t>
        </is>
      </c>
    </row>
    <row r="11">
      <c r="A11" s="12" t="inlineStr">
        <is>
          <t xml:space="preserve">  - BluePearl Brooklyn - 190 3rd Ave (Gowanus) 11217 - (718) 596-0099 - 24/7, MRI/neurosurgery/critical care.</t>
        </is>
      </c>
    </row>
    <row r="12">
      <c r="A12" s="12" t="inlineStr">
        <is>
          <t xml:space="preserve">  - VERG (Veterinary Emergency &amp; Referral Group) - 196 4th Ave 11217 - (718) 522-9400 - 24/7.</t>
        </is>
      </c>
    </row>
    <row r="13">
      <c r="A13" s="12" t="inlineStr">
        <is>
          <t xml:space="preserve">  - VEG Ralph Ave - 1950 Ralph Ave 11234 - (718) 677-6700 - 24/7 (you stay with your pet).</t>
        </is>
      </c>
    </row>
    <row r="14">
      <c r="A14" s="12" t="inlineStr">
        <is>
          <t xml:space="preserve">  - VEG Williamsburg - 87 Kent Ave 11249 - (917) 423-6444 - 24/7.</t>
        </is>
      </c>
    </row>
    <row r="15">
      <c r="A15" s="12" t="inlineStr">
        <is>
          <t xml:space="preserve">  - Fifth Avenue Veterinary Hospital - 9102 5th Ave (Bay Ridge) 11209 - (718) 748-1066 - 24 hours.</t>
        </is>
      </c>
    </row>
    <row r="16">
      <c r="A16" s="12" t="inlineStr"/>
    </row>
    <row r="17">
      <c r="A17" s="14" t="inlineStr">
        <is>
          <t>MANHATTAN - 24 hour ER</t>
        </is>
      </c>
    </row>
    <row r="18">
      <c r="A18" s="12" t="inlineStr">
        <is>
          <t xml:space="preserve">  - Animal Medical Center (AMC) - 510 E 62nd St 10065 - (212) 838-8100 - 24/7, the major NYC specialty/ER hospital.</t>
        </is>
      </c>
    </row>
    <row r="19">
      <c r="A19" s="12" t="inlineStr">
        <is>
          <t xml:space="preserve">  - BluePearl Midtown - 410 W 55th St 10019 - (212) 767-0099 - 24/7.</t>
        </is>
      </c>
    </row>
    <row r="20">
      <c r="A20" s="12" t="inlineStr">
        <is>
          <t xml:space="preserve">  - BluePearl Downtown - 1 W 15th St 10011 - (212) 924-3311 - 24/7 (specialty + urgent).</t>
        </is>
      </c>
    </row>
    <row r="21">
      <c r="A21" s="12" t="inlineStr">
        <is>
          <t xml:space="preserve">  - VEG (Veterinary Emergency Group) - 1215 2nd Ave (UES) - (212) 223-3500 - 24/7.</t>
        </is>
      </c>
    </row>
    <row r="22">
      <c r="A22" s="12" t="inlineStr"/>
    </row>
    <row r="23">
      <c r="A23" s="14" t="inlineStr">
        <is>
          <t>QUEENS - 24 hour ER</t>
        </is>
      </c>
    </row>
    <row r="24">
      <c r="A24" s="12" t="inlineStr">
        <is>
          <t xml:space="preserve">  - BluePearl Queens - 107-28 71st Rd, Forest Hills 11375 - (718) 263-0099 - 24/7. ONLY NYC animal hospital with hemodialysis (toxin ingestion / kidney failure).</t>
        </is>
      </c>
    </row>
    <row r="25">
      <c r="A25" s="12" t="inlineStr">
        <is>
          <t xml:space="preserve">  - Elmhurst Animal Emergency Hospital - 87-06 Queens Blvd, Rego Park/Elmhurst 11373 - (718) 426-4444 - 24 hours.</t>
        </is>
      </c>
    </row>
    <row r="26">
      <c r="A26" s="12" t="inlineStr">
        <is>
          <t xml:space="preserve">  - InstaVet Urgent Care - 44-16 23rd St, LIC 11101 - (917) 525-2579 - call/site for hours.</t>
        </is>
      </c>
    </row>
    <row r="27">
      <c r="A27" s="12" t="inlineStr"/>
    </row>
    <row r="28">
      <c r="A28" s="14" t="inlineStr">
        <is>
          <t>STATEN ISLAND - 24 hour ER</t>
        </is>
      </c>
    </row>
    <row r="29">
      <c r="A29" s="12" t="inlineStr">
        <is>
          <t xml:space="preserve">  - CompleteCare Veterinary Center - 1293 Clove Rd 10301 - (718) 720-4211 - 24 hours.</t>
        </is>
      </c>
    </row>
    <row r="30">
      <c r="A30" s="12" t="inlineStr">
        <is>
          <t xml:space="preserve">  - Greater State Veterinary Specialists (GSiVS) - 3135 Victory Blvd 10314 - (917) 830-1380 - 24/7.</t>
        </is>
      </c>
    </row>
    <row r="31">
      <c r="A31" s="12" t="inlineStr"/>
    </row>
    <row r="32">
      <c r="A32" s="14" t="inlineStr">
        <is>
          <t>BRONX - urgent care (for TRUE 24hr ER, Bronx residents are advised to use Manhattan - AMC/BluePearl)</t>
        </is>
      </c>
    </row>
    <row r="33">
      <c r="A33" s="12" t="inlineStr">
        <is>
          <t xml:space="preserve">  - Urgent Vets - 3800 E Tremont Ave 10465 - (347) 281-9700 - Sun-Wed 12pm-10pm, Thu-Sat 10am-12am (NOT 24hr).</t>
        </is>
      </c>
    </row>
    <row r="34">
      <c r="A34" s="12" t="inlineStr">
        <is>
          <t xml:space="preserve">  - After those hours: go to Animal Medical Center or a Manhattan BluePearl (see Manhattan).</t>
        </is>
      </c>
    </row>
    <row r="35">
      <c r="A35" s="12" t="inlineStr"/>
    </row>
    <row r="36">
      <c r="A36" s="12" t="inlineStr">
        <is>
          <t>Two things that save time in a crisis: (1) call ahead so the ER preps for you; (2) if it's a toxin, call poison control FIRST - they give the ER the exact protocol. Keep this tab handy offline.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9"/>
  <sheetViews>
    <sheetView showGridLines="0" workbookViewId="0">
      <selection activeCell="A1" sqref="A1"/>
    </sheetView>
  </sheetViews>
  <sheetFormatPr baseColWidth="8" defaultRowHeight="15"/>
  <cols>
    <col width="122" customWidth="1" min="1" max="1"/>
  </cols>
  <sheetData>
    <row r="1">
      <c r="A1" s="11" t="inlineStr">
        <is>
          <t>LOW-COST CLINICS, TRAP BANKS &amp; OWNER-SUPPORT - by borough</t>
        </is>
      </c>
    </row>
    <row r="2">
      <c r="A2" s="12" t="inlineStr">
        <is>
          <t>Verified against Bideawee Feral-Friendly Vets, KittyKind's low-cost list, ASPCA, and Neighborhood Cats, 2026-08-26. Fees/hours change - always confirm before booking, and confirm the clinic is FERAL-EXPERIENCED before bringing a trapped cat.</t>
        </is>
      </c>
    </row>
    <row r="3">
      <c r="A3" s="12" t="inlineStr"/>
    </row>
    <row r="4">
      <c r="A4" s="14" t="inlineStr">
        <is>
          <t>CITYWIDE (work in every borough)</t>
        </is>
      </c>
    </row>
    <row r="5">
      <c r="A5" s="12" t="inlineStr">
        <is>
          <t xml:space="preserve">  - The Toby Project - FREE community-cat s/n, all 5 boroughs (Certified TNR Caretakers). Bklyn/Man/SI: (347) 816-2899. Bronx/Queens mobile: Tobyprojectnyc@gmail.com. $5 rabies only.</t>
        </is>
      </c>
    </row>
    <row r="6">
      <c r="A6" s="12" t="inlineStr">
        <is>
          <t xml:space="preserve">  - ASPCA - free/low-cost s/n citywide: public via Same-Day Waitlist (clinic.aspca.org); rescuers via RSS (aspcapro.org/scheduler). Physical clinics in South Bronx + LIC Queens; mobile vans in designated zips.</t>
        </is>
      </c>
    </row>
    <row r="7">
      <c r="A7" s="12" t="inlineStr">
        <is>
          <t xml:space="preserve">  - Humane Society of NY (HSNY) - 306 E 59th St, Manhattan - (212) 752-4840 - low-cost s/n for all cats (pet + feral) + dogs, 7 days, appt only. Each cat in a separate covered trap.</t>
        </is>
      </c>
    </row>
    <row r="8">
      <c r="A8" s="12" t="inlineStr">
        <is>
          <t xml:space="preserve">  - Friends of Animals - certificates (cat spay ~$65 / neuter ~$51), redeem at feral-friendly vets - 1-800-321-PETS.</t>
        </is>
      </c>
    </row>
    <row r="9">
      <c r="A9" s="12" t="inlineStr">
        <is>
          <t xml:space="preserve">  - MAMA Coupon (Muffin's Pet Connection) - community-cat s/n $58 female / $45 male incl. rabies + eartip - muffins.org/MAMA.htm.</t>
        </is>
      </c>
    </row>
    <row r="10">
      <c r="A10" s="12" t="inlineStr"/>
    </row>
    <row r="11">
      <c r="A11" s="14" t="inlineStr">
        <is>
          <t>TRAP BANKS / HUMANE TRAP LENDING (borrow a trap to start TNR)</t>
        </is>
      </c>
    </row>
    <row r="12">
      <c r="A12" s="12" t="inlineStr">
        <is>
          <t xml:space="preserve">  - Neighborhood Cats Trap Bank - reserve at neighborhoodcats.org/tnr-in-nyc/trap-banks. Pickup: Public Storage, 30 Prince St, Brooklyn 11201.</t>
        </is>
      </c>
    </row>
    <row r="13">
      <c r="A13" s="12" t="inlineStr">
        <is>
          <t xml:space="preserve">  - ASPCA Trap Bank - free for registered rescuers (RSS); email TNRtrapbank@aspca.org.</t>
        </is>
      </c>
    </row>
    <row r="14">
      <c r="A14" s="12" t="inlineStr">
        <is>
          <t xml:space="preserve">  - NYC Feral Cat Initiative (Bideawee) - trap loans for Certified TNR Caretakers via the helpdesk (nycfci.happyfox.com/new).</t>
        </is>
      </c>
    </row>
    <row r="15">
      <c r="A15" s="12" t="inlineStr">
        <is>
          <t xml:space="preserve">  - Muffin's Pet Connection - rents humane cat traps (muffins.org).</t>
        </is>
      </c>
    </row>
    <row r="16">
      <c r="A16" s="12" t="inlineStr">
        <is>
          <t xml:space="preserve">  - Good Home Pet Adoptions (Crown Heights) - community TRAP BANK, info@goodhomepetadoptions.org.</t>
        </is>
      </c>
    </row>
    <row r="17">
      <c r="A17" s="12" t="inlineStr"/>
    </row>
    <row r="18">
      <c r="A18" s="14" t="inlineStr">
        <is>
          <t>BROOKLYN - feral-friendly / low-cost clinics</t>
        </is>
      </c>
    </row>
    <row r="19">
      <c r="A19" s="12" t="inlineStr">
        <is>
          <t xml:space="preserve">  - BBAWC Rescue Clinic - 76 Montague St 11201 - (917) 426-3335 - monthly clinic, helps owners + rescuers (s/n, TNR, sedated exams, basic care); discount for public-assistance. bbawc.org/clinic.</t>
        </is>
      </c>
    </row>
    <row r="20">
      <c r="A20" s="12" t="inlineStr">
        <is>
          <t xml:space="preserve">  - Flatbush Vet - 1460 Flatbush Ave 11210 - contact@flatbushvet.org - nonprofit s/n for rescue/TNR volunteers Brooklyn-wide (rescuer scheduler); handles cats in traps.</t>
        </is>
      </c>
    </row>
    <row r="21">
      <c r="A21" s="12" t="inlineStr">
        <is>
          <t xml:space="preserve">  - Park Slope Veterinary Center - 639 4th Ave 11232 - (718) 369-7387 - discounted feral s/n for Certified TNR Caretakers.</t>
        </is>
      </c>
    </row>
    <row r="22">
      <c r="A22" s="12" t="inlineStr">
        <is>
          <t xml:space="preserve">  - Faithful Friends Animal Hospital - 2455 McDonald Ave 11223 - (718) 339-7387 - discounted feral s/n for Certified TNR Caretakers.</t>
        </is>
      </c>
    </row>
    <row r="23">
      <c r="A23" s="12" t="inlineStr"/>
    </row>
    <row r="24">
      <c r="A24" s="14" t="inlineStr">
        <is>
          <t>MANHATTAN - feral-friendly / low-cost clinics</t>
        </is>
      </c>
    </row>
    <row r="25">
      <c r="A25" s="12" t="inlineStr">
        <is>
          <t xml:space="preserve">  - Humane Society of NY - 306 E 59th St 10022 - (212) 752-4840 - low-cost s/n, pets + ferals (see citywide).</t>
        </is>
      </c>
    </row>
    <row r="26">
      <c r="A26" s="12" t="inlineStr">
        <is>
          <t xml:space="preserve">  - Animal General - 558 Columbus Ave 10024 - (212) 501-9600 - feral-friendly (Bideawee list).</t>
        </is>
      </c>
    </row>
    <row r="27">
      <c r="A27" s="12" t="inlineStr">
        <is>
          <t xml:space="preserve">  - ASPCA (mobile + South Bronx/LIC clinics reachable) + Toby stationary clinic serves Manhattan community cats.</t>
        </is>
      </c>
    </row>
    <row r="28">
      <c r="A28" s="12" t="inlineStr"/>
    </row>
    <row r="29">
      <c r="A29" s="14" t="inlineStr">
        <is>
          <t>QUEENS - feral-friendly / low-cost clinics</t>
        </is>
      </c>
    </row>
    <row r="30">
      <c r="A30" s="12" t="inlineStr">
        <is>
          <t xml:space="preserve">  - ASPCA Community Veterinary Clinic - Long Island City - appointment-based affordable care + s/n for low-income Queens residents.</t>
        </is>
      </c>
    </row>
    <row r="31">
      <c r="A31" s="12" t="inlineStr">
        <is>
          <t xml:space="preserve">  - St. Mina Animal Clinic - 76-23 Jamaica Ave, Woodhaven 11421 - (718) 296-0500 - feral-friendly (Bideawee list).</t>
        </is>
      </c>
    </row>
    <row r="32">
      <c r="A32" s="12" t="inlineStr">
        <is>
          <t xml:space="preserve">  - Queens Low Cost Vet - 28-27 Steinway St, Astoria 11103 - 646-994-7962 - low-cost s/n (ask what's included).</t>
        </is>
      </c>
    </row>
    <row r="33">
      <c r="A33" s="12" t="inlineStr">
        <is>
          <t xml:space="preserve">  - Toby Project weekly MOBILE clinic serves Queens - email Tobyprojectnyc@gmail.com.</t>
        </is>
      </c>
    </row>
    <row r="34">
      <c r="A34" s="12" t="inlineStr"/>
    </row>
    <row r="35">
      <c r="A35" s="14" t="inlineStr">
        <is>
          <t>BRONX - feral-friendly / low-cost clinics</t>
        </is>
      </c>
    </row>
    <row r="36">
      <c r="A36" s="12" t="inlineStr">
        <is>
          <t xml:space="preserve">  - ASPCA Community Veterinary Clinic - South Bronx - appointment-based affordable care + s/n for low-income Bronx residents.</t>
        </is>
      </c>
    </row>
    <row r="37">
      <c r="A37" s="12" t="inlineStr">
        <is>
          <t xml:space="preserve">  - Toby Project weekly MOBILE clinic serves the Bronx - email Tobyprojectnyc@gmail.com.</t>
        </is>
      </c>
    </row>
    <row r="38">
      <c r="A38" s="12" t="inlineStr">
        <is>
          <t xml:space="preserve">  - Also usable: HSNY (Manhattan) and the citywide certificate/coupon programs.</t>
        </is>
      </c>
    </row>
    <row r="39">
      <c r="A39" s="12" t="inlineStr"/>
    </row>
    <row r="40">
      <c r="A40" s="14" t="inlineStr">
        <is>
          <t>STATEN ISLAND - feral-friendly / low-cost clinics</t>
        </is>
      </c>
    </row>
    <row r="41">
      <c r="A41" s="12" t="inlineStr">
        <is>
          <t xml:space="preserve">  - SICAW Certificate Program - low-cost s/n certificates w/ partner SI vets (under half normal price); apply at sicawsaves.org/resources.</t>
        </is>
      </c>
    </row>
    <row r="42">
      <c r="A42" s="12" t="inlineStr">
        <is>
          <t xml:space="preserve">  - Island Bird Cat &amp; Dog Vet Group - 375 Manor Rd 10314 - (718) 370-9472 - feral-friendly (Bideawee list).</t>
        </is>
      </c>
    </row>
    <row r="43">
      <c r="A43" s="12" t="inlineStr">
        <is>
          <t xml:space="preserve">  - P.L.U.T.O. Rescue - runs a low-cost s/n program (see Staten Island rescues).</t>
        </is>
      </c>
    </row>
    <row r="44">
      <c r="A44" s="12" t="inlineStr">
        <is>
          <t xml:space="preserve">  - Toby stationary clinic (Brooklyn) serves SI community cats - (347) 816-2899.</t>
        </is>
      </c>
    </row>
    <row r="45">
      <c r="A45" s="12" t="inlineStr"/>
    </row>
    <row r="46">
      <c r="A46" s="14" t="inlineStr">
        <is>
          <t>DENTALS FOR FERAL / UNHANDLEABLE CATS (bigger than a s/n - needs a feral-experienced clinic, done under sedation in the trap)</t>
        </is>
      </c>
    </row>
    <row r="47">
      <c r="A47" s="12" t="inlineStr">
        <is>
          <t xml:space="preserve">  - Park Slope Veterinary Center - 639 4th Ave, Bklyn 11232 - (718) 369-7387 - BEST lead: feral-friendly + Dr. Szacki's practice explicitly does dental work (cleanings/extractions) and works with TNR caretakers.</t>
        </is>
      </c>
    </row>
    <row r="48">
      <c r="A48" s="12" t="inlineStr">
        <is>
          <t xml:space="preserve">  - BBAWC Rescue Clinic - 76 Montague St 11201 - (917) 426-3335 - feral-friendly, does sedated exams/basic care; ask if the dental is in scope or a referral.</t>
        </is>
      </c>
    </row>
    <row r="49">
      <c r="A49" s="12" t="inlineStr">
        <is>
          <t xml:space="preserve">  - Faithful Friends (2455 McDonald Ave, Bklyn - (718) 339-7387) + Animal General (558 Columbus Ave, Man - (212) 501-9600) - feral-friendly list; call to confirm they'll do a dental on an unhandleable cat.</t>
        </is>
      </c>
    </row>
    <row r="50">
      <c r="A50" s="12" t="inlineStr">
        <is>
          <t xml:space="preserve">  - Long Island Animal Surgery (Patchogue/Glen Cove) - advertises low-cost dental cleanings/surgeries for FERAL cats, no extra handling charge - worth the trip for a bigger dental.</t>
        </is>
      </c>
    </row>
    <row r="51">
      <c r="A51" s="12" t="inlineStr">
        <is>
          <t xml:space="preserve">  - HOW TO ASK: 'This is a feral/unhandleable cat needing a dental - can you sedate in the trap and do the dental assessment + extractions under that same anesthesia?' Confirm scope, bloodwork, and cost BEFORE trapping. A dental is bigger than a s/n, so use a full-service feral-friendly clinic, not a high-volume s/n clinic.</t>
        </is>
      </c>
    </row>
    <row r="52">
      <c r="A52" s="12" t="inlineStr"/>
    </row>
    <row r="53">
      <c r="A53" s="14" t="inlineStr">
        <is>
          <t>HELP PAYING VET BILLS (financial aid - prevents economic euthanasia; apply to several at once, funds go to the vet)</t>
        </is>
      </c>
    </row>
    <row r="54">
      <c r="A54" s="12" t="inlineStr">
        <is>
          <t xml:space="preserve">  - NYSAVE - NYC-specific EMERGENCY funding for low-income NYC residents whose cat/dog needs urgent care they can't afford. Your vet applies on your behalf - ask the treating clinic to contact NYSAVE right away. (via Mayor's Alliance / animalalliancenyc.org/need-help/vetcare).</t>
        </is>
      </c>
    </row>
    <row r="55">
      <c r="A55" s="12" t="inlineStr">
        <is>
          <t xml:space="preserve">  - AMC 'Charlie's Fund' (Animal Medical Center, Manhattan) - free/subsidized emergency care; pet must first be seen by an AMC vet, apply within 5 business days of treatment start. amcny.org/financial-assistance.</t>
        </is>
      </c>
    </row>
    <row r="56">
      <c r="A56" s="12" t="inlineStr">
        <is>
          <t xml:space="preserve">  - RedRover Relief - urgent-care grants (often 24-48hr); redrover.org. The Pet Fund - non-urgent/chronic care. Frankie's Friends - lifesaving emergency/specialty. For The Love of Alex - urgent cat/dog care.</t>
        </is>
      </c>
    </row>
    <row r="57">
      <c r="A57" s="12" t="inlineStr">
        <is>
          <t xml:space="preserve">  - Condition-specific: cancer (Live Like Roo, Magic Bullet, Riedel &amp; Cody), chronic/specialty (The Pet Fund, Pet Lifeline). CareCredit + Scratchpay = medical payment plans many NYC clinics accept.</t>
        </is>
      </c>
    </row>
    <row r="58">
      <c r="A58" s="12" t="inlineStr">
        <is>
          <t xml:space="preserve">  - HOW: get a written itemized estimate from the vet + proof of need (SNAP/Medicaid/income), then apply to MULTIPLE programs at once (funding is limited and runs out).</t>
        </is>
      </c>
    </row>
    <row r="59">
      <c r="A59" s="12" t="inlineStr"/>
    </row>
    <row r="60">
      <c r="A60" s="14" t="inlineStr">
        <is>
          <t>OWNER-SUPPORT / SURRENDER PREVENTION (keep a cat in its home - ACC prevented 3,813 surrenders in one year)</t>
        </is>
      </c>
    </row>
    <row r="61">
      <c r="A61" s="12" t="inlineStr">
        <is>
          <t xml:space="preserve">  - ACC CommunityPets - CommunityPets@nycacc.org - free/reduced vet referrals, deferred intake, help during hospitalization/DV/eviction; the surrender-avoidance line. ACC runs a PET FOOD PANTRY at its Bronx Resource Center (email for location/hours).</t>
        </is>
      </c>
    </row>
    <row r="62">
      <c r="A62" s="12" t="inlineStr">
        <is>
          <t xml:space="preserve">  - ASPCA + Food Bank For NYC partnership - free pet food distributed through 250+ Food Bank partner pantries in ALL 5 boroughs; recipients also get access to ASPCA affordable vet care/spay-neuter. Find a pantry via foodbanknyc.org or City Harvest's food-locator map (cityharvest.org).</t>
        </is>
      </c>
    </row>
    <row r="63">
      <c r="A63" s="12" t="inlineStr">
        <is>
          <t xml:space="preserve">  - PAWS NY - paws.nyc.org - pet food pantry + low-income vet care + in-home help (litter, feeding, walking) for low-income NYers with impaired mobility (age/illness/disability).</t>
        </is>
      </c>
    </row>
    <row r="64">
      <c r="A64" s="12" t="inlineStr">
        <is>
          <t xml:space="preserve">  - NEW (2026): the city budget funds pop-up PET FOOD PANTRIES + spay/neuter in every borough via community partners - check your City Council Member's office or DOHMH for current locations.</t>
        </is>
      </c>
    </row>
    <row r="65">
      <c r="A65" s="12" t="inlineStr">
        <is>
          <t xml:space="preserve">  - Feeding Pets of the Homeless (petsofthehomeless.org) - pet food via partner pantries/soup kitchens/shelters for people who are homeless or in crisis.</t>
        </is>
      </c>
    </row>
    <row r="66">
      <c r="A66" s="12" t="inlineStr">
        <is>
          <t xml:space="preserve">  - Local rescues that point to pantry days: Bronx Community Cats, ARQ (Queens), MeowRoof (Queens), Loving Touch, Mama Chris (SI) - or ask 311 for the nearest current one.</t>
        </is>
      </c>
    </row>
    <row r="67">
      <c r="A67" s="12" t="inlineStr">
        <is>
          <t xml:space="preserve">  - RescueNYC - holding/recovery space so a caretaker isn't forced to surrender during a TNR or medical situation.</t>
        </is>
      </c>
    </row>
    <row r="68">
      <c r="A68" s="12" t="inlineStr"/>
    </row>
    <row r="69">
      <c r="A69" s="12" t="inlineStr">
        <is>
          <t>Note: this tab is a quick-reference layer; the same clinics/orgs also appear (with fuller detail) in the main sheet's 'Clinics' section and borough sections. Feral cats MUST go to a feral-experienced clinic in a covered trap.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cols>
    <col width="122" customWidth="1" min="1" max="1"/>
  </cols>
  <sheetData>
    <row r="1" ht="27" customHeight="1">
      <c r="A1" s="11" t="inlineStr">
        <is>
          <t>OWNER SUPPORT &amp; KEEPING YOUR CAT - help before surrender (contacts inline)</t>
        </is>
      </c>
    </row>
    <row r="2" ht="57" customHeight="1">
      <c r="A2" s="17" t="inlineStr">
        <is>
          <t>Resources for cat owners who need help - food, in-home care, temporary/crisis fostering, vet-bill aid, housing support, and pet insurance. ACC offers many of these directly and can talk through options. Verified against ACC, Mayor's Alliance, NYSAVE, and AMC, 2026-08-28. Confirm current availability, which changes over time.</t>
        </is>
      </c>
    </row>
    <row r="3"/>
    <row r="4" ht="27" customHeight="1">
      <c r="A4" s="14" t="inlineStr">
        <is>
          <t>ACC OWNER SUPPORT / SURRENDER PREVENTION</t>
        </is>
      </c>
    </row>
    <row r="5" ht="57" customHeight="1">
      <c r="A5" s="17" t="inlineStr">
        <is>
          <t xml:space="preserve">  - ACC CommunityPets - CommunityPets@nycacc.org - (212) 788-4000. Free/reduced vet referrals, spay/neuter, deferred/managed intake, and help during a crisis so a cat can stay in its home. Ask about the surrender-prevention questionnaire; a counselor follows up.</t>
        </is>
      </c>
    </row>
    <row r="6" ht="42" customHeight="1">
      <c r="A6" s="17" t="inlineStr">
        <is>
          <t xml:space="preserve">  - ACC may also provide supplies (food, litter, carriers) and connect owners to other agencies. To rehome a cat yourself (often less stressful for the cat than shelter intake), ask about ACC's 'Rehoming Your Pet' tools.</t>
        </is>
      </c>
    </row>
    <row r="7"/>
    <row r="8" ht="27" customHeight="1">
      <c r="A8" s="14" t="inlineStr">
        <is>
          <t>PET FOOD PANTRIES (specific programs)</t>
        </is>
      </c>
    </row>
    <row r="9" ht="42" customHeight="1">
      <c r="A9" s="17" t="inlineStr">
        <is>
          <t xml:space="preserve">  - ACC Pet Food Pantry - at the ACC Bronx Resource Center; contact for location, hours, eligibility. CommunityPets@nycacc.org - (212) 788-4000.</t>
        </is>
      </c>
    </row>
    <row r="10" ht="42" customHeight="1">
      <c r="A10" s="17" t="inlineStr">
        <is>
          <t xml:space="preserve">  - PuppyKitty NYC - runs a pet-food bank; 501(c)(3) rescues can request stock, and it distributes to people in need. foodbank@puppykittynyc.org - puppykittynyc.org.</t>
        </is>
      </c>
    </row>
    <row r="11" ht="27" customHeight="1">
      <c r="A11" s="17" t="inlineStr">
        <is>
          <t xml:space="preserve">  - Animal Relief Fund (ARF) - NYC org providing pet food to people in need. animalrelieffund.org.</t>
        </is>
      </c>
    </row>
    <row r="12" ht="42" customHeight="1">
      <c r="A12" s="17" t="inlineStr">
        <is>
          <t xml:space="preserve">  - New York Common Pantry - distributes pet food at events (often with the ASPCA), including in the Bronx. nycommonpantry.org - (917) 720-9700.</t>
        </is>
      </c>
    </row>
    <row r="13" ht="42" customHeight="1">
      <c r="A13" s="17" t="inlineStr">
        <is>
          <t xml:space="preserve">  - Food Bank For New York City - pet food is sometimes available at member pantries (varies by donations). foodbanknyc.org/get-help.</t>
        </is>
      </c>
    </row>
    <row r="14" ht="27" customHeight="1">
      <c r="A14" s="17" t="inlineStr">
        <is>
          <t xml:space="preserve">  - ASPCA + Food Bank For NYC partnership - free pet food distributed through Food Bank partner pantries citywide.</t>
        </is>
      </c>
    </row>
    <row r="15" ht="42" customHeight="1">
      <c r="A15" s="17" t="inlineStr">
        <is>
          <t xml:space="preserve">  - Petco Love 'We Are Family' - collects pet food/litter and distributes through human food-pantry partners across the 5 boroughs; ask your local pantry if they participate.</t>
        </is>
      </c>
    </row>
    <row r="16" ht="27" customHeight="1">
      <c r="A16" s="17" t="inlineStr">
        <is>
          <t xml:space="preserve">  - Prince Chunk Foundation - pet food + short-term assistance for families in crisis. princechunkfoundation.org.</t>
        </is>
      </c>
    </row>
    <row r="17" ht="27" customHeight="1">
      <c r="A17" s="17" t="inlineStr">
        <is>
          <t xml:space="preserve">  - Kiso's Pet Food Pantry (Brooklyn) - free pet food, focus on senior citizens. facebook.com/Kisos-Pet-Food-Pantry.</t>
        </is>
      </c>
    </row>
    <row r="18" ht="42" customHeight="1">
      <c r="A18" s="17" t="inlineStr">
        <is>
          <t xml:space="preserve">  - Feeding Pets of the Homeless - free pet food + vet care via partner sites for people who are homeless or at risk. petsofthehomeless.org.</t>
        </is>
      </c>
    </row>
    <row r="19" ht="42" customHeight="1">
      <c r="A19" s="17" t="inlineStr">
        <is>
          <t xml:space="preserve">  - Food Help NYC (finder.nyc.gov/foodhelp) lists food pantries, some of which stock pet food; the donateNYC Directory (donatenyc.org) has a Pet Care/Food category.</t>
        </is>
      </c>
    </row>
    <row r="20" ht="42" customHeight="1">
      <c r="A20" s="17" t="inlineStr">
        <is>
          <t xml:space="preserve">  - NEW (2026): the city budget funds pop-up PET FOOD PANTRIES + spay/neuter in every borough via community events - watch ACC + borough-rescue feeds for dates.</t>
        </is>
      </c>
    </row>
    <row r="21"/>
    <row r="22" ht="27" customHeight="1">
      <c r="A22" s="14" t="inlineStr">
        <is>
          <t>SENIOR / DISABILITY / ILLNESS - in-home pet care</t>
        </is>
      </c>
    </row>
    <row r="23" ht="42" customHeight="1">
      <c r="A23" s="17" t="inlineStr">
        <is>
          <t xml:space="preserve">  - PAWS NY - free in-home help (litter changing, feeding, vet-trip coordination) for low-income seniors and people with illness/disability who struggle with daily pet care. Also runs a pet food pantry. pawsny.org - (212) 203-4760.</t>
        </is>
      </c>
    </row>
    <row r="24" ht="42" customHeight="1">
      <c r="A24" s="17" t="inlineStr">
        <is>
          <t xml:space="preserve">  - CancerCare Pet Assistance &amp; Wellness (PAW) Program - help with pet-care costs for people in active cancer treatment, with a NYC-resident fund. cancercare.org - (800) 813-4673.</t>
        </is>
      </c>
    </row>
    <row r="25"/>
    <row r="26" ht="27" customHeight="1">
      <c r="A26" s="14" t="inlineStr">
        <is>
          <t>TEMPORARY / CRISIS CARE - hospitalization, rehab, housing transition</t>
        </is>
      </c>
    </row>
    <row r="27" ht="42" customHeight="1">
      <c r="A27" s="17" t="inlineStr">
        <is>
          <t xml:space="preserve">  - PAWS NY - Hospital Respite Program for people who are hospitalized or in rehab, plus a Substance Use Recovery Program for those entering inpatient treatment. referrals@pawsny.org - (212) 203-4760 ext. 306.</t>
        </is>
      </c>
    </row>
    <row r="28" ht="42" customHeight="1">
      <c r="A28" s="17" t="inlineStr">
        <is>
          <t xml:space="preserve">  - ASPCA Community Engagement - may provide free/subsidized short-term boarding during a crisis; ask about eligibility via aspca.org.</t>
        </is>
      </c>
    </row>
    <row r="29" ht="42" customHeight="1">
      <c r="A29" s="17" t="inlineStr">
        <is>
          <t xml:space="preserve">  - Animal Haven Community Engagement - short-term boarding for pets whose owners face a temporary crisis (hospitalization, housing transition); space is limited. (212) 274-8511 - animalhaven.org.</t>
        </is>
      </c>
    </row>
    <row r="30" ht="42" customHeight="1">
      <c r="A30" s="17" t="inlineStr">
        <is>
          <t xml:space="preserve">  - RescueNYC - holding/recovery space so a caretaker isn't forced to surrender during a TNR or medical situation (see main sheet).</t>
        </is>
      </c>
    </row>
    <row r="31" ht="27" customHeight="1">
      <c r="A31" s="17" t="inlineStr">
        <is>
          <t xml:space="preserve">  - ACC - can coordinate options for people entering DHS temporary housing. admissions@nycacc.org - (212) 788-4000.</t>
        </is>
      </c>
    </row>
    <row r="32"/>
    <row r="33" ht="27" customHeight="1">
      <c r="A33" s="14" t="inlineStr">
        <is>
          <t>DOMESTIC-VIOLENCE PET SAFE-KEEPING (free; stay-together or safe foster)</t>
        </is>
      </c>
    </row>
    <row r="34" ht="57" customHeight="1">
      <c r="A34" s="17" t="inlineStr">
        <is>
          <t xml:space="preserve">  - URI PALS (Urban Resource Institute, People and Animals Living Safely) - the largest DV shelter provider in the U.S.; NYC co-living shelters let survivors bring pets, with private pet-friendly areas. Free. urinyc.org (ask about PALS); NYC DV Hotline (24/7): (800) 621-HOPE / (800) 621-4673.</t>
        </is>
      </c>
    </row>
    <row r="35" ht="42" customHeight="1">
      <c r="A35" s="17" t="inlineStr">
        <is>
          <t xml:space="preserve">  - Safe Haven Program / MAP Foster - networks of foster homes partnered with DV shelters to care for a pet temporarily when the shelter can't take animals, then reunite. Ask a DV caseworker or the NYC DV Hotline (800) 621-4673.</t>
        </is>
      </c>
    </row>
    <row r="36" ht="42" customHeight="1">
      <c r="A36" s="17" t="inlineStr">
        <is>
          <t xml:space="preserve">  - PAWS NY - assists with emergency fostering for domestic-violence survivors seeking safety. referrals@pawsny.org - (212) 203-4760 ext. 306.</t>
        </is>
      </c>
    </row>
    <row r="37" ht="27" customHeight="1">
      <c r="A37" s="17" t="inlineStr">
        <is>
          <t xml:space="preserve">  - RedRover Relief Safe Escape - grants help cover pet boarding/care for survivors leaving abuse. redrover.org/domestic.</t>
        </is>
      </c>
    </row>
    <row r="38" ht="27" customHeight="1">
      <c r="A38" s="17" t="inlineStr">
        <is>
          <t xml:space="preserve">  - Safe Place for Pets (RedRover) - searchable directory of programs by ZIP. safeplaceforpets.org.</t>
        </is>
      </c>
    </row>
    <row r="39" ht="42" customHeight="1">
      <c r="A39" s="17" t="inlineStr">
        <is>
          <t xml:space="preserve">  - Safe Havens Mapping Project (Animal Welfare Institute) - directory of shelters with on-site pet housing, boarding partnerships, or foster care during a crisis. safehavensmappingproject.com.</t>
        </is>
      </c>
    </row>
    <row r="40" ht="27" customHeight="1">
      <c r="A40" s="17" t="inlineStr">
        <is>
          <t xml:space="preserve">  - Sheltering Animals &amp; Families Together (SAF-T) - helps DV shelters house pets on-site. alliephillips.com/saf-tprogram.</t>
        </is>
      </c>
    </row>
    <row r="41" ht="42" customHeight="1">
      <c r="A41" s="17" t="inlineStr">
        <is>
          <t xml:space="preserve">  - SPCA Westchester Pet Safety Program - safe-keeping for pets in DV-affected households (Westchester-adjacent). spcawestchester.org/pet-safety - (914) 941-2896.</t>
        </is>
      </c>
    </row>
    <row r="42"/>
    <row r="43" ht="27" customHeight="1">
      <c r="A43" s="14" t="inlineStr">
        <is>
          <t>HOSPICE / SENIOR + LIFETIME-CARE placement</t>
        </is>
      </c>
    </row>
    <row r="44" ht="27" customHeight="1">
      <c r="A44" s="17" t="inlineStr">
        <is>
          <t xml:space="preserve">  - Tavi &amp; Friends (Brooklyn) - senior + FIV lifetime care; the specialist. 646-872-1533 - adopt@taviandfriends.org.</t>
        </is>
      </c>
    </row>
    <row r="45" ht="42" customHeight="1">
      <c r="A45" s="17" t="inlineStr">
        <is>
          <t xml:space="preserve">  - Cat Castle NYC (Manhattan) - through-senior (up to ~16 yrs) and hard cases others won't take. (973) 752-7750 - catcastlenyc.org.</t>
        </is>
      </c>
    </row>
    <row r="46" ht="27" customHeight="1">
      <c r="A46" s="17" t="inlineStr">
        <is>
          <t xml:space="preserve">  - KittyKind (Manhattan) - senior + special-needs placement. adopt@kittykind.org - kittykind.org.</t>
        </is>
      </c>
    </row>
    <row r="47" ht="27" customHeight="1">
      <c r="A47" s="17" t="inlineStr">
        <is>
          <t xml:space="preserve">  - Lap of Love - in-home hospice and end-of-life veterinary care across NYC. lapoflove.com - (855) 933-5683.</t>
        </is>
      </c>
    </row>
    <row r="48" ht="42" customHeight="1">
      <c r="A48" s="17" t="inlineStr">
        <is>
          <t xml:space="preserve">  - There is no NYC-only senior-cat sanctuary; the lifetime-care rescues above plus fosters are the route for an unadoptable senior.</t>
        </is>
      </c>
    </row>
    <row r="49"/>
    <row r="50" ht="27" customHeight="1">
      <c r="A50" s="14" t="inlineStr">
        <is>
          <t>HELP PAYING VET BILLS (financial aid - prevents economic euthanasia; apply to several at once, funds go to the vet)</t>
        </is>
      </c>
    </row>
    <row r="51" ht="72" customHeight="1">
      <c r="A51" s="17" t="inlineStr">
        <is>
          <t xml:space="preserve">  - NYSAVE (NY Save Animals in Veterinary Emergency) - NYC-SPECIFIC emergency funding for sick/injured pets of low-income NYC residents (all 5 boroughs). At/below NYC poverty level (about $41,100 for 1 person / $58,700 for a family of 4); must first be denied by CareCredit/Scratchpay; ~$2,000/yr per household, paid to a participating vet. (917) 669-7281 - info@nysave.org - nysave.org.</t>
        </is>
      </c>
    </row>
    <row r="52" ht="57" customHeight="1">
      <c r="A52" s="17" t="inlineStr">
        <is>
          <t xml:space="preserve">  - AMC (Schwarzman Animal Medical Center, Manhattan) funds - Charlie's Patient Assistance Fund (free/subsidized EMERGENCY care), Buddy Fund (cancer), Cooper Fund (radiation), SAVE (seniors 65+), plus military/adopted-pet discounts. Pet must be seen at AMC; apply within 5 business days of treatment. funds@amcny.org - (212) 838-8100 - amcny.org/financial-assistance.</t>
        </is>
      </c>
    </row>
    <row r="53" ht="42" customHeight="1">
      <c r="A53" s="17" t="inlineStr">
        <is>
          <t xml:space="preserve">  - ASPCA Animal Hospital (AAH) - low-cost urgent care in NYC for owners with household income at or below $50,000 (bring EBT/SSI/VA/unemployment/TANF proof). aspca.org/nyc.</t>
        </is>
      </c>
    </row>
    <row r="54" ht="42" customHeight="1">
      <c r="A54" s="17" t="inlineStr">
        <is>
          <t xml:space="preserve">  - RedRover Relief - grants (avg ~$250) toward urgent, life-threatening care; income under $60,000/yr; paid to the vet. redrover.org/relief - (916) 429-2457.</t>
        </is>
      </c>
    </row>
    <row r="55" ht="42" customHeight="1">
      <c r="A55" s="17" t="inlineStr">
        <is>
          <t xml:space="preserve">  - The Pet Fund - non-urgent/chronic care (e.g. chronic conditions); contact BEFORE applying. info@thepetfund.com - (916) 443-6007.</t>
        </is>
      </c>
    </row>
    <row r="56" ht="42" customHeight="1">
      <c r="A56" s="17" t="inlineStr">
        <is>
          <t xml:space="preserve">  - Frankie's Friends - lifesaving emergency/specialty care (pet already seen by a vet, good prognosis). frankiesfriends.org/apply-for-assistance-3.</t>
        </is>
      </c>
    </row>
    <row r="57" ht="27" customHeight="1">
      <c r="A57" s="17" t="inlineStr">
        <is>
          <t xml:space="preserve">  - Waggle - vet-bill crowdfunding; 100% of funds go to the vet. waggle.org.</t>
        </is>
      </c>
    </row>
    <row r="58" ht="57" customHeight="1">
      <c r="A58" s="17" t="inlineStr">
        <is>
          <t xml:space="preserve">  - Condition-specific (cats): cancer - Live Like Roo (livelikeroo.org), Magic Bullet Fund (themagicbulletfund.org), Riedel &amp; Cody Fund; FIP/retrovirus + chronic - The Pet Fund; Feline Veterinary Emergency Assistance Program (VAS/ISS); Diabetic Cats in Need (insulin help).</t>
        </is>
      </c>
    </row>
    <row r="59" ht="42" customHeight="1">
      <c r="A59" s="17" t="inlineStr">
        <is>
          <t xml:space="preserve">  - Humane Society of NY - some cases receive full/partial funding via its Animal Emergency Appeal; ask when booking. 306 E 59th St - (212) 752-4842.</t>
        </is>
      </c>
    </row>
    <row r="60" ht="27" customHeight="1">
      <c r="A60" s="17" t="inlineStr">
        <is>
          <t xml:space="preserve">  - Dial 211 (nyc.gov/211) for a live operator with current local assistance funds.</t>
        </is>
      </c>
    </row>
    <row r="61" ht="42" customHeight="1">
      <c r="A61" s="17" t="inlineStr">
        <is>
          <t xml:space="preserve">  - CareCredit (carecredit.com / (800) 677-0718) and Scratchpay (scratchpay.com) - vet-care financing accepted at most NYC vets. HOW: get a written itemized estimate + proof of need (SNAP/Medicaid/income), then apply to several funds at once.</t>
        </is>
      </c>
    </row>
    <row r="62"/>
    <row r="63" ht="27" customHeight="1">
      <c r="A63" s="14" t="inlineStr">
        <is>
          <t>PET INSURANCE (for planning ahead, not a bill you already have)</t>
        </is>
      </c>
    </row>
    <row r="64" ht="57" customHeight="1">
      <c r="A64" s="17" t="inlineStr">
        <is>
          <t xml:space="preserve">  - Pet insurance reimburses a percentage of FUTURE covered vet costs after you pay the vet; it does NOT cover pre-existing conditions, so it helps most when started while a cat is young and healthy. Compare deductible, reimbursement %, annual limit, and exclusions.</t>
        </is>
      </c>
    </row>
    <row r="65" ht="42" customHeight="1">
      <c r="A65" s="17" t="inlineStr">
        <is>
          <t xml:space="preserve">  - Trupanion - trupanion.com - (855) 591-3100. Per-condition deductible; can pay the vet directly at participating clinics; 90% reimbursement.</t>
        </is>
      </c>
    </row>
    <row r="66" ht="42" customHeight="1">
      <c r="A66" s="17" t="inlineStr">
        <is>
          <t xml:space="preserve">  - Healthy Paws - healthypaws.com - (855) 898-8991. Annual deductible, unlimited annual coverage, 70-90% reimbursement; fast claims.</t>
        </is>
      </c>
    </row>
    <row r="67" ht="42" customHeight="1">
      <c r="A67" s="17" t="inlineStr">
        <is>
          <t xml:space="preserve">  - ASPCA Pet Health Insurance - aspcapetinsurance.com - (866) 204-6764. Customizable; optional wellness add-on; up to 270 days to submit a claim.</t>
        </is>
      </c>
    </row>
    <row r="68" ht="27" customHeight="1">
      <c r="A68" s="17" t="inlineStr">
        <is>
          <t xml:space="preserve">  - Nationwide - petinsurance.com - (877) 738-7874. Long-standing; some plans cover lost-pet advertising.</t>
        </is>
      </c>
    </row>
    <row r="69" ht="27" customHeight="1">
      <c r="A69" s="17" t="inlineStr">
        <is>
          <t xml:space="preserve">  - Pets Best - petsbest.com - (877) 738-7237. Direct-vet-pay option.</t>
        </is>
      </c>
    </row>
    <row r="70" ht="42" customHeight="1">
      <c r="A70" s="17" t="inlineStr">
        <is>
          <t xml:space="preserve">  - Others widely reviewed for 2026: Embrace, Figo, Lemonade, Spot, Pumpkin, Fetch, MetLife. Get 2-3 quotes and read each policy's exclusions before choosing.</t>
        </is>
      </c>
    </row>
    <row r="71" ht="42" customHeight="1">
      <c r="A71" s="17" t="inlineStr">
        <is>
          <t xml:space="preserve">  - Tip: ask the insurer in writing how they define a pre-existing condition, and whether curable conditions (e.g. an upper-respiratory infection) can be covered later.</t>
        </is>
      </c>
    </row>
    <row r="72"/>
    <row r="73" ht="42" customHeight="1">
      <c r="A73" s="17" t="inlineStr">
        <is>
          <t>Note: some resources here (ASPCA, PAWS NY, ACC, Pets of the Homeless) also appear on the 'Clinics, traps &amp; support' tab; contacts are repeated here so this tab stands alone.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2"/>
  <sheetViews>
    <sheetView showGridLines="0" workbookViewId="0">
      <selection activeCell="A1" sqref="A1"/>
    </sheetView>
  </sheetViews>
  <sheetFormatPr baseColWidth="8" defaultRowHeight="15"/>
  <cols>
    <col width="122" customWidth="1" min="1" max="1"/>
  </cols>
  <sheetData>
    <row r="1">
      <c r="A1" s="11" t="inlineStr">
        <is>
          <t>MICROCHIP, LOST &amp; FOUND, AND BEHAVIOR / SOCIALIZATION HELP</t>
        </is>
      </c>
    </row>
    <row r="2">
      <c r="A2" s="12" t="inlineStr">
        <is>
          <t>Verified against ACC, Petco Love Lost, 24PetWatch, and Urban Cat League, 2026-08-26.</t>
        </is>
      </c>
    </row>
    <row r="3">
      <c r="A3" s="12" t="inlineStr"/>
    </row>
    <row r="4">
      <c r="A4" s="14" t="inlineStr">
        <is>
          <t>LOST A CAT - do all of these fast (80% of lost cats are found within a mile - usually much closer, hiding)</t>
        </is>
      </c>
    </row>
    <row r="5">
      <c r="A5" s="12" t="inlineStr">
        <is>
          <t xml:space="preserve">  - Petco Love Lost (petcolove.org/lost) - FREE national database with FACIAL-RECOGNITION photo matching. Upload a clear face photo, report as LOST, print the auto-generated flyer, check every few hours.</t>
        </is>
      </c>
    </row>
    <row r="6">
      <c r="A6" s="12" t="inlineStr">
        <is>
          <t xml:space="preserve">  - ACC lost/found - nycacc.org/services/lost-and-found - file a Lost Pet Report, search the Found database, and VISIT all open Care Centers in person with a photo + proof of ownership (shelters don't always post daily).</t>
        </is>
      </c>
    </row>
    <row r="7">
      <c r="A7" s="12" t="inlineStr">
        <is>
          <t xml:space="preserve">  - If chipped: contact the microchip company immediately, report the cat lost, confirm your contact info is current.</t>
        </is>
      </c>
    </row>
    <row r="8">
      <c r="A8" s="12" t="inlineStr">
        <is>
          <t xml:space="preserve">  - Post to NYC lost-and-found networks: PawBoost, Pet FBI, Nextdoor, Craigslist lost-and-found, and location-based Facebook groups ('Lost and Found Pets of [neighborhood/NYC]'). Make ONE shareable flyer image with photo + last-seen location/time + your number.</t>
        </is>
      </c>
    </row>
    <row r="9">
      <c r="A9" s="12" t="inlineStr">
        <is>
          <t xml:space="preserve">  - CAT-SPECIFIC SEARCH (cats hide, they don't run far): search silently at DUSK/NIGHT with a flashlight + carrier + smelly food; check under cars, porches, shrubs, basements, alleys, dumpsters. An indoor cat that bolted is usually within a few houses, hiding and silent for days.</t>
        </is>
      </c>
    </row>
    <row r="10">
      <c r="A10" s="12" t="inlineStr">
        <is>
          <t xml:space="preserve">  - Indoor escape? Search your OWN home first - behind the stove, in cabinets, closets, under furniture. Put their litter box / a worn t-shirt outside the door; the scent can draw them back.</t>
        </is>
      </c>
    </row>
    <row r="11">
      <c r="A11" s="12" t="inlineStr">
        <is>
          <t xml:space="preserve">  - Ask the people who walk your block: mail carriers, delivery drivers, supers, door attendants, restaurant basement staff, park workers. Post flyers at vets, pet stores, and building mailboxes (get permission on private property).</t>
        </is>
      </c>
    </row>
    <row r="12">
      <c r="A12" s="12" t="inlineStr">
        <is>
          <t xml:space="preserve">  - Do NOT chase a sighted cat - it makes them bolt. Sit, talk softly, offer food, and consider a humane trap (borrow one - see 'Clinics, traps &amp; support').</t>
        </is>
      </c>
    </row>
    <row r="13">
      <c r="A13" s="12" t="inlineStr"/>
    </row>
    <row r="14">
      <c r="A14" s="14" t="inlineStr">
        <is>
          <t>FOUND A CAT</t>
        </is>
      </c>
    </row>
    <row r="15">
      <c r="A15" s="12" t="inlineStr">
        <is>
          <t xml:space="preserve">  - Get it SCANNED for a microchip at any vet or shelter (free) - the fastest route to the owner. Also check for a collar/tag and an EAR-TIP (a tipped ear = a TNR'd community cat with a caretaker, not a lost pet - leave it be).</t>
        </is>
      </c>
    </row>
    <row r="16">
      <c r="A16" s="12" t="inlineStr">
        <is>
          <t xml:space="preserve">  - Report as FOUND on Petco Love Lost + file a found report with ACC. Search local Facebook lost-and-found groups + Nextdoor for a matching 'lost' post.</t>
        </is>
      </c>
    </row>
    <row r="17">
      <c r="A17" s="12" t="inlineStr">
        <is>
          <t xml:space="preserve">  - SICK or INJURED stray/community cat? Text ACC at (203) 529-5372 or email CommunityPets@nycacc.org - they assess whether it needs help and how. Don't handle an aggressive/fearful cat.</t>
        </is>
      </c>
    </row>
    <row r="18">
      <c r="A18" s="12" t="inlineStr">
        <is>
          <t xml:space="preserve">  - Healthy, friendly cat? Don't assume it's a stray - it may be an indoor/outdoor neighbor's cat. ACC does NOT accept healthy stray cats; post found flyers + check for a chip first. If truly abandoned, contact a borough rescue.</t>
        </is>
      </c>
    </row>
    <row r="19">
      <c r="A19" s="12" t="inlineStr">
        <is>
          <t xml:space="preserve">  - NY stray-hold law: found pets generally must be reported to animal control and held a minimum number of days before adoption - check with ACC.</t>
        </is>
      </c>
    </row>
    <row r="20">
      <c r="A20" s="12" t="inlineStr"/>
    </row>
    <row r="21">
      <c r="A21" s="14" t="inlineStr">
        <is>
          <t>MICROCHIP REGISTRIES (register the chip - a chip that isn't registered can't reunite anyone)</t>
        </is>
      </c>
    </row>
    <row r="22">
      <c r="A22" s="12" t="inlineStr">
        <is>
          <t xml:space="preserve">  - 24PetWatch (24pet.com/products/registry) - North America's largest registry, FREE registration, any chip brand.</t>
        </is>
      </c>
    </row>
    <row r="23">
      <c r="A23" s="12" t="inlineStr">
        <is>
          <t xml:space="preserve">  - Petco Love Lost - free, doubles as the lost/found database above.</t>
        </is>
      </c>
    </row>
    <row r="24">
      <c r="A24" s="12" t="inlineStr">
        <is>
          <t xml:space="preserve">  - Don't know the chip company? Look up the number at found.org/owners or the AAHA Universal Lookup (petmicrochiplookup.org).</t>
        </is>
      </c>
    </row>
    <row r="25">
      <c r="A25" s="12" t="inlineStr">
        <is>
          <t xml:space="preserve">  - Where to GET a cat chipped cheaply: ACC, HSNY, most low-cost clinics on the 'Clinics, traps &amp; support' tab do microchipping at the s/n visit.</t>
        </is>
      </c>
    </row>
    <row r="26">
      <c r="A26" s="12" t="inlineStr"/>
    </row>
    <row r="27">
      <c r="A27" s="14" t="inlineStr">
        <is>
          <t>BEHAVIOR / SOCIALIZATION - part A: feral/shy cats &amp; kittens (make them adoptable)</t>
        </is>
      </c>
    </row>
    <row r="28">
      <c r="A28" s="12" t="inlineStr">
        <is>
          <t xml:space="preserve">  - Urban Cat League Taming Toolkit (urbancatleague.org/taming-toolkit) - THE NYC resource: written crash-course + 'Taming Feral Kittens &amp; Cats' video + taming blog. Share it with adopters/fosters to prevent back-sliding.</t>
        </is>
      </c>
    </row>
    <row r="29">
      <c r="A29" s="12" t="inlineStr">
        <is>
          <t xml:space="preserve">  - Rule of thumb: kittens under 8 weeks socialize easily; 8 wks-6 months takes longer but works; adult ferals sometimes too. Work at feeding time when they're hungry, start with head/shoulders, use a large dog crate or a bathroom, hand-feed to build trust.</t>
        </is>
      </c>
    </row>
    <row r="30">
      <c r="A30" s="12" t="inlineStr">
        <is>
          <t xml:space="preserve">  - UCL workshops: Taming Feral Street Kittens, Bottle-Feeding Neonatals, Building Winter Shelters, Incorporating a 501(c)(3), and the TNR Certification workshop (15,000+ certified).</t>
        </is>
      </c>
    </row>
    <row r="31">
      <c r="A31" s="12" t="inlineStr">
        <is>
          <t xml:space="preserve">  - Kitten Lady (kittenlady.org) - free how-to videos on neonatal/kitten care + socialization. Cornell Feline Health Center - vet-backed behavior articles.</t>
        </is>
      </c>
    </row>
    <row r="32">
      <c r="A32" s="12" t="inlineStr"/>
    </row>
    <row r="33">
      <c r="A33" s="14" t="inlineStr">
        <is>
          <t>BEHAVIOR / SOCIALIZATION - part B: OWNED-cat problems (these are the #1 surrender triggers - solvable!)</t>
        </is>
      </c>
    </row>
    <row r="34">
      <c r="A34" s="12" t="inlineStr">
        <is>
          <t xml:space="preserve">  - FREE National Cat Behavior Helpline - email felinehelpline@gmail.com with your contact info + a one-line issue ('cat not using litter box'); free counseling aimed at keeping cats in their homes.</t>
        </is>
      </c>
    </row>
    <row r="35">
      <c r="A35" s="12" t="inlineStr">
        <is>
          <t xml:space="preserve">  - FIRST STEP for any sudden behavior change (esp. litter box) = a VET VISIT to rule out a medical cause (UTI, kidney, pain). Behavior fixes won't work if it's medical.</t>
        </is>
      </c>
    </row>
    <row r="36">
      <c r="A36" s="12" t="inlineStr">
        <is>
          <t xml:space="preserve">  - Litter box (10%+ of cats): one box per cat PLUS one extra, scoop daily, unscented clumping litter ~2in deep, big uncovered box, quiet accessible spot. Never punish or place the cat in the box. Spraying (vertical, small amount) is marking, not a box problem - neuter fixes ~90%.</t>
        </is>
      </c>
    </row>
    <row r="37">
      <c r="A37" s="12" t="inlineStr">
        <is>
          <t xml:space="preserve">  - Cat-to-cat aggression / introductions: separate resources (multiple bowls, beds, boxes, perches), go SLOW with a new cat (scent-swap, then feed on opposite sides of a door, then visual, then supervised). Feliway pheromone diffuser can lower tension. Don't soothe an aroused cat - give space (redirected aggression can turn on you).</t>
        </is>
      </c>
    </row>
    <row r="38">
      <c r="A38" s="12" t="inlineStr">
        <is>
          <t xml:space="preserve">  - Scratching: it's normal (stretching/marking) - provide tall sturdy posts + horizontal cardboard, don't declaw (harmful; alternatives exist). Reward using the post.</t>
        </is>
      </c>
    </row>
    <row r="39">
      <c r="A39" s="12" t="inlineStr">
        <is>
          <t xml:space="preserve">  - Authoritative free libraries: ASPCA Common Cat Behavior Issues (aspca.org/pet-care/cat-care), Pam Johnson-Bennett (catbehaviorassociates.com), Best Friends, Cornell Feline Health Center.</t>
        </is>
      </c>
    </row>
    <row r="40">
      <c r="A40" s="12" t="inlineStr">
        <is>
          <t xml:space="preserve">  - For serious/persistent cases: ask your vet for a referral to a board-certified veterinary behaviorist (Dip ACVB) or Certified Applied Animal Behaviorist (CAAB).</t>
        </is>
      </c>
    </row>
    <row r="41">
      <c r="A41" s="12" t="inlineStr"/>
    </row>
    <row r="42">
      <c r="A42" s="12" t="inlineStr">
        <is>
          <t>Prevention beats everything: a registered microchip + keeping cats indoors is the single strongest safety net. A loud noise or sudden movement can send an outdoor cat running - think of a cat outside as a toddler alone.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9"/>
  <sheetViews>
    <sheetView showGridLines="0" workbookViewId="0">
      <selection activeCell="A1" sqref="A1"/>
    </sheetView>
  </sheetViews>
  <sheetFormatPr baseColWidth="8" defaultRowHeight="15"/>
  <cols>
    <col width="122" customWidth="1" min="1" max="1"/>
  </cols>
  <sheetData>
    <row r="1">
      <c r="A1" s="11" t="inlineStr">
        <is>
          <t>COLONY &amp; FERAL CAT CARE - managing an outdoor community-cat colony end to end</t>
        </is>
      </c>
    </row>
    <row r="2">
      <c r="A2" s="12" t="inlineStr">
        <is>
          <t>A community cat is an outdoor cat without a direct owner. Some are friendly (may be adoptable), most ferals are not - TNR + lifelong colony care is the humane, effective path. Verified vs Bideawee/FCI, Neighborhood Cats, NYC MOAW, Urban Cat League, 2026-08-26.</t>
        </is>
      </c>
    </row>
    <row r="3">
      <c r="A3" s="12" t="inlineStr"/>
    </row>
    <row r="4">
      <c r="A4" s="14" t="inlineStr">
        <is>
          <t>STEP 1 - GET TNR-CERTIFIED (free; unlocks free s/n, trap loans, transport)</t>
        </is>
      </c>
    </row>
    <row r="5">
      <c r="A5" s="12" t="inlineStr">
        <is>
          <t xml:space="preserve">  - Neighborhood Cats TNR Certification Workshop - monthly online, certifies you as a Certified TNR Caretaker. neighborhoodcats.org/how-to-tnr. 15,000+ New Yorkers certified.</t>
        </is>
      </c>
    </row>
    <row r="6">
      <c r="A6" s="12" t="inlineStr">
        <is>
          <t xml:space="preserve">  - NYC Feral Cat Initiative (Bideawee) - also runs certification + colony-care workshops + a 7-day helpdesk (nycfci.happyfox.com/new).</t>
        </is>
      </c>
    </row>
    <row r="7">
      <c r="A7" s="12" t="inlineStr">
        <is>
          <t xml:space="preserve">  - Certification is what makes the free/low-cost s/n, trap banks, and transport (all on 'Clinics, traps &amp; support') available to you.</t>
        </is>
      </c>
    </row>
    <row r="8">
      <c r="A8" s="12" t="inlineStr"/>
    </row>
    <row r="9">
      <c r="A9" s="14" t="inlineStr">
        <is>
          <t>STEP 2 - REGISTER THE COLONY (protects it + tracks progress)</t>
        </is>
      </c>
    </row>
    <row r="10">
      <c r="A10" s="12" t="inlineStr">
        <is>
          <t xml:space="preserve">  - Cat Stats colony registry (Neighborhood Cats / Mayor's Alliance) - catstats.org/nyc - log your colony, cats, and s/n status.</t>
        </is>
      </c>
    </row>
    <row r="11">
      <c r="A11" s="12" t="inlineStr">
        <is>
          <t xml:space="preserve">  - Registration helps document TNR progress, coordinate with other caretakers, and can protect a colony's feeding site.</t>
        </is>
      </c>
    </row>
    <row r="12">
      <c r="A12" s="12" t="inlineStr"/>
    </row>
    <row r="13">
      <c r="A13" s="14" t="inlineStr">
        <is>
          <t>STEP 3 - TRAP &amp; FIX (see 'Clinics, traps &amp; support' for trap banks + free/low-cost s/n)</t>
        </is>
      </c>
    </row>
    <row r="14">
      <c r="A14" s="12" t="inlineStr">
        <is>
          <t xml:space="preserve">  - Borrow traps: Neighborhood Cats, ASPCA, FCI, Muffin's (details on the clinics tab).</t>
        </is>
      </c>
    </row>
    <row r="15">
      <c r="A15" s="12" t="inlineStr">
        <is>
          <t xml:space="preserve">  - Free/low-cost s/n for community cats: Toby Project (all 5 boroughs, free), ASPCA, plus feral-friendly clinics by borough.</t>
        </is>
      </c>
    </row>
    <row r="16">
      <c r="A16" s="12" t="inlineStr">
        <is>
          <t xml:space="preserve">  - An EAR-TIP (left ear, squared off) = already spayed/neutered + rabies-vaccinated. Don't re-trap ear-tipped cats.</t>
        </is>
      </c>
    </row>
    <row r="17">
      <c r="A17" s="12" t="inlineStr"/>
    </row>
    <row r="18">
      <c r="A18" s="14" t="inlineStr">
        <is>
          <t>STEP 4 - ONGOING COLONY CARE</t>
        </is>
      </c>
    </row>
    <row r="19">
      <c r="A19" s="12" t="inlineStr">
        <is>
          <t xml:space="preserve">  - Winter shelters: Urban Cat League + FCI have build guides/workshops (insulated, straw-not-blankets, small entrance).</t>
        </is>
      </c>
    </row>
    <row r="20">
      <c r="A20" s="12" t="inlineStr">
        <is>
          <t xml:space="preserve">  - Food/water + discreet feeding stations that don't create odor/waste nuisance (keeps neighbors + the colony safe).</t>
        </is>
      </c>
    </row>
    <row r="21">
      <c r="A21" s="12" t="inlineStr">
        <is>
          <t xml:space="preserve">  - Colony-support groups that help caretakers directly (with contacts): Bronx Community Cats (bronxcommunitycats.org), ARQ/Queens (arqadopt.org), MeowRoof/Queens (meowroof.org), Ocean Hill Cats/Bklyn (info@oceanhillcats.com), Good Home/Bklyn trap bank (info@goodhomepetadoptions.org), Mama Chris/SI (text 347-983-2240).</t>
        </is>
      </c>
    </row>
    <row r="22">
      <c r="A22" s="12" t="inlineStr"/>
    </row>
    <row r="23">
      <c r="A23" s="14" t="inlineStr">
        <is>
          <t>FRIENDLY CATS / KITTENS FOUND IN A COLONY (pull for adoption)</t>
        </is>
      </c>
    </row>
    <row r="24">
      <c r="A24" s="12" t="inlineStr">
        <is>
          <t xml:space="preserve">  - Socialize: Urban Cat League Taming Toolkit (see 'Lost-found &amp; behavior' tab). Under 8 wks socialize easily; older takes longer.</t>
        </is>
      </c>
    </row>
    <row r="25">
      <c r="A25" s="12" t="inlineStr">
        <is>
          <t xml:space="preserve">  - Neonatal/bottle-babies too young to survive outdoors: route to a nursery - Itty Bitty City Kitties, Cats of Meow York, Bay Ridge Kittens, Kittens and Barbells (see Specialty view).</t>
        </is>
      </c>
    </row>
    <row r="26">
      <c r="A26" s="12" t="inlineStr"/>
    </row>
    <row r="27">
      <c r="A27" s="14" t="inlineStr">
        <is>
          <t>WHEN A CAT CAN'T BE RETURNED (site lost, unsafe, or truly unadoptable feral)</t>
        </is>
      </c>
    </row>
    <row r="28">
      <c r="A28" s="12" t="inlineStr">
        <is>
          <t xml:space="preserve">  - Working-cat / barn relocation: Urban Cat League, MeowSquad, For Animals Inc. place un-adoptable ferals as working cats (barns, warehouses, breweries).</t>
        </is>
      </c>
    </row>
    <row r="29">
      <c r="A29" s="12" t="inlineStr">
        <is>
          <t xml:space="preserve">  - Hard Hat Cats - places working/feral cats at NYC businesses (has placed inside the Brooklyn Navy Yard) - hardhatcats@gmail.com.</t>
        </is>
      </c>
    </row>
    <row r="30">
      <c r="A30" s="12" t="inlineStr"/>
    </row>
    <row r="31">
      <c r="A31" s="14" t="inlineStr">
        <is>
          <t>FERAL MEDICAL / EMERGENCIES</t>
        </is>
      </c>
    </row>
    <row r="32">
      <c r="A32" s="12" t="inlineStr">
        <is>
          <t xml:space="preserve">  - Sick/injured feral: the feral-friendly clinics on 'Clinics, traps &amp; support' + emergency hospitals on 'Emergency &amp; poison control' (call ahead, bring in a covered trap).</t>
        </is>
      </c>
    </row>
    <row r="33">
      <c r="A33" s="12" t="inlineStr">
        <is>
          <t xml:space="preserve">  - Feral dentals: see the dental subsection on the clinics tab (Park Slope Vet Center is the best lead).</t>
        </is>
      </c>
    </row>
    <row r="34">
      <c r="A34" s="12" t="inlineStr">
        <is>
          <t xml:space="preserve">  - Scratched or bitten by a feral? Contact a doctor immediately + report to NYC Health Animal Bite Unit (311). Handle only in a trap/transfer cage.</t>
        </is>
      </c>
    </row>
    <row r="35">
      <c r="A35" s="12" t="inlineStr"/>
    </row>
    <row r="36">
      <c r="A36" s="12" t="inlineStr">
        <is>
          <t>KEY CONTACTS (all verified in the main sheet): FCI helpdesk nycfci.happyfox.com/new / (212) 330-0033 - Neighborhood Cats help@neighborhoodcats.org / (212) 662-5761 - these two are the backbone for any colony question.</t>
        </is>
      </c>
    </row>
    <row r="37">
      <c r="A37" s="12" t="inlineStr"/>
    </row>
    <row r="38">
      <c r="A38" s="12">
        <f>====================================================================</f>
        <v/>
      </c>
    </row>
    <row r="39">
      <c r="A39" s="16" t="inlineStr">
        <is>
          <t>SERVICES AVAILABLE FOR COLONY / COMMUNITY CATS (what you can actually GET, and who provides it)</t>
        </is>
      </c>
    </row>
    <row r="40">
      <c r="A40" s="12" t="inlineStr">
        <is>
          <t>Most free services require you to be a Certified TNR Caretaker (free to become - see Step 1). Register with the provider first.</t>
        </is>
      </c>
    </row>
    <row r="41">
      <c r="A41" s="12" t="inlineStr"/>
    </row>
    <row r="42">
      <c r="A42" s="13" t="inlineStr">
        <is>
          <t xml:space="preserve">  SPAY/NEUTER + RABIES + EAR-TIP (the core service, FREE for certified caretakers):</t>
        </is>
      </c>
    </row>
    <row r="43">
      <c r="A43" s="12" t="inlineStr">
        <is>
          <t xml:space="preserve">   - Toby Project: FREE, all 5 boroughs ($5 rabies only). ASPCA: FREE via RSS (aspcapro.org/scheduler). HSNY: low-cost. NSALA feral package $40 (s/n + rabies + FVRCP + penicillin + eartip). Full list + borough clinics on 'Clinics, traps &amp; support' tab.</t>
        </is>
      </c>
    </row>
    <row r="44">
      <c r="A44" s="12" t="inlineStr"/>
    </row>
    <row r="45">
      <c r="A45" s="13" t="inlineStr">
        <is>
          <t xml:space="preserve">  FREE TRANSPORT to/from spay-neuter (if you can't drive traps):</t>
        </is>
      </c>
    </row>
    <row r="46">
      <c r="A46" s="12" t="inlineStr">
        <is>
          <t xml:space="preserve">   - ASPCA offers free transport to/from its clinics - book with the s/n appointment via RSS. Cats returned to the same pickup spot next day.</t>
        </is>
      </c>
    </row>
    <row r="47">
      <c r="A47" s="12" t="inlineStr"/>
    </row>
    <row r="48">
      <c r="A48" s="13" t="inlineStr">
        <is>
          <t xml:space="preserve">  FREE/LOANED TRAPS + drop-traps:</t>
        </is>
      </c>
    </row>
    <row r="49">
      <c r="A49" s="12" t="inlineStr">
        <is>
          <t xml:space="preserve">   - Neighborhood Cats trap bank (pickup 30 Prince St, Bklyn), ASPCA trap bank (TNRtrapbank@aspca.org), FCI loans, Muffin's rentals. Details on clinics tab.</t>
        </is>
      </c>
    </row>
    <row r="50">
      <c r="A50" s="12" t="inlineStr"/>
    </row>
    <row r="51">
      <c r="A51" s="13" t="inlineStr">
        <is>
          <t xml:space="preserve">  FREE CAT FOOD, STRAW &amp; WINTER SHELTERS for colonies:</t>
        </is>
      </c>
    </row>
    <row r="52">
      <c r="A52" s="12" t="inlineStr">
        <is>
          <t xml:space="preserve">   - NYC Feral Cat Initiative (FCI) runs periodic giveaways of free cat food, STRAW (best shelter bedding - insulates, wicks moisture), and pre-made winter shelters to Certified TNR Caretakers. Ask the FCI helpdesk about current giveaways.</t>
        </is>
      </c>
    </row>
    <row r="53">
      <c r="A53" s="12" t="inlineStr">
        <is>
          <t xml:space="preserve">   - Straw (NOT hay, NOT blankets which hold cold/damp) is the correct insulator; FCI + Neighborhood Cats have build guides + sometimes distribute shelters.</t>
        </is>
      </c>
    </row>
    <row r="54">
      <c r="A54" s="12" t="inlineStr">
        <is>
          <t xml:space="preserve">   - ASPCA + Food Bank pet-food pantries (all boroughs) can also supply colony feeding (see clinics tab owner-support).</t>
        </is>
      </c>
    </row>
    <row r="55">
      <c r="A55" s="12" t="inlineStr"/>
    </row>
    <row r="56">
      <c r="A56" s="13" t="inlineStr">
        <is>
          <t xml:space="preserve">  FREE POSTING OF ADOPTABLE COLONY CATS (friendlies/kittens pulled from the colony):</t>
        </is>
      </c>
    </row>
    <row r="57">
      <c r="A57" s="12" t="inlineStr">
        <is>
          <t xml:space="preserve">   - FCI posts Certified TNR Caretakers' adoptable cats on its Petfinder page. Borough rescues (see main sheet) also take friendlies into their adoption pipelines.</t>
        </is>
      </c>
    </row>
    <row r="58">
      <c r="A58" s="12" t="inlineStr"/>
    </row>
    <row r="59">
      <c r="A59" s="13" t="inlineStr">
        <is>
          <t xml:space="preserve">  GRANTS / FINANCIAL HELP for TNR + colony vet costs:</t>
        </is>
      </c>
    </row>
    <row r="60">
      <c r="A60" s="12" t="inlineStr">
        <is>
          <t xml:space="preserve">   - FCI has administered ASPCA + In Defense of Animals grants for individuals' TNR/adoption expenses - ask the helpdesk what's currently open. Vet-bill aid (NYSAVE etc.) on clinics tab.</t>
        </is>
      </c>
    </row>
    <row r="61">
      <c r="A61" s="12" t="inlineStr"/>
    </row>
    <row r="62">
      <c r="A62" s="13" t="inlineStr">
        <is>
          <t xml:space="preserve">  MEDICAL for colony cats (sick/injured/dental):</t>
        </is>
      </c>
    </row>
    <row r="63">
      <c r="A63" s="12" t="inlineStr">
        <is>
          <t xml:space="preserve">   - Feral-friendly clinics + emergency hospitals + feral dentals: all on 'Clinics, traps &amp; support' and 'Emergency &amp; poison control' tabs. Trap the cat, bring it covered.</t>
        </is>
      </c>
    </row>
    <row r="64">
      <c r="A64" s="12" t="inlineStr"/>
    </row>
    <row r="65">
      <c r="A65" s="13" t="inlineStr">
        <is>
          <t xml:space="preserve">  COMMUNITY-RELATIONS help (neighbor complaints, feeding disputes, moving a feeding station):</t>
        </is>
      </c>
    </row>
    <row r="66">
      <c r="A66" s="12" t="inlineStr">
        <is>
          <t xml:space="preserve">   - FCI + Neighborhood Cats offer guidance + the 'Love Cats / Hate Cats' outreach materials; Alley Cat Allies has colony-conflict resources. NY State classifies cats (incl. feral) as companion animals - caretaking + feeding is legal, though local feeding rules can vary.</t>
        </is>
      </c>
    </row>
    <row r="67">
      <c r="A67" s="12" t="inlineStr"/>
    </row>
    <row r="68">
      <c r="A68" s="13" t="inlineStr">
        <is>
          <t xml:space="preserve">  HANDS-ON HELP (someone to trap with you, holding space, fosters):</t>
        </is>
      </c>
    </row>
    <row r="69">
      <c r="A69" s="12" t="inlineStr">
        <is>
          <t xml:space="preserve">   - Borough TNR groups that trap alongside you / take friendlies / hold (with contacts): Bronx Community Cats (bronxcommunitycats.org), ARQ (arqadopt.org), MeowRoof (meowroof.org), Ocean Hill Cats (info@oceanhillcats.com), Good Home (info@goodhomepetadoptions.org), Mama Chris SI (text 347-983-2240), Bushwick Street Cats (bushwickstreetcats@gmail.com), North Brooklyn Cats (northbrooklyncats.org/help), Flatbush Cats (help@flatbushcats.org). Match to the colony's neighborhood.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2026-08-27T22:27:01Z</dcterms:created>
  <dcterms:modified xmlns:dcterms="http://purl.org/dc/terms/" xmlns:xsi="http://www.w3.org/2001/XMLSchema-instance" xsi:type="dcterms:W3CDTF">2026-08-28T23:33:03Z</dcterms:modified>
</cp:coreProperties>
</file>